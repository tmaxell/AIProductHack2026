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895e9724d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рт" sheetId="1" r:id="R2f6a0d9cf72d48b1"/>
    <x:sheet xmlns:r="http://schemas.openxmlformats.org/officeDocument/2006/relationships" name="Допущения" sheetId="2" r:id="R22a78891072a410d"/>
    <x:sheet xmlns:r="http://schemas.openxmlformats.org/officeDocument/2006/relationships" name="Юнит MWS" sheetId="3" r:id="R4b50c50836024716"/>
    <x:sheet xmlns:r="http://schemas.openxmlformats.org/officeDocument/2006/relationships" name="Клиент" sheetId="4" r:id="Refcf743471994c8b"/>
    <x:sheet xmlns:r="http://schemas.openxmlformats.org/officeDocument/2006/relationships" name="Рост" sheetId="5" r:id="R8531518802784b08"/>
    <x:sheet xmlns:r="http://schemas.openxmlformats.org/officeDocument/2006/relationships" name="Чувствительность" sheetId="6" r:id="R492d7c2b0b5746e1"/>
    <x:sheet xmlns:r="http://schemas.openxmlformats.org/officeDocument/2006/relationships" name="Источники" sheetId="7" r:id="R249ff04af2034978"/>
    <x:sheet xmlns:r="http://schemas.openxmlformats.org/officeDocument/2006/relationships" name="Контроль" sheetId="8" r:id="R0d83f39782094fa1"/>
  </x:sheets>
</x:workbook>
</file>

<file path=xl/comments1.xml><?xml version="1.0" encoding="utf-8"?>
<x:comments xmlns:x="http://schemas.openxmlformats.org/spreadsheetml/2006/main">
  <x:authors>
    <x:author>tc={77CB63B4-B0AD-4503-92C8-0858B003DB17}</x:author>
    <x:author>tc={9D3A1504-E21B-4FD6-828E-EF4DAD44D06D}</x:author>
    <x:author>tc={1BE919B3-317E-4DFD-8758-A271917DBAE7}</x:author>
    <x:author>tc={08A05115-FF11-4C87-95ED-A83E45378FAC}</x:author>
    <x:author>tc={98F24B13-564E-4372-91D8-3E2465AEDDB0}</x:author>
    <x:author>tc={142E4602-9A2A-477D-AAD5-DF9E287D15A8}</x:author>
    <x:author>tc={D56C1353-ABAC-444B-B17B-2E35CE2507D0}</x:author>
    <x:author>tc={8E3E053B-BE50-4CAB-B1D0-1B0CC8AFC5F9}</x:author>
    <x:author>tc={8A368761-732C-4CED-806A-149CAB535265}</x:author>
    <x:author>tc={36808CC3-555E-4A64-A080-72CC2286C77E}</x:author>
    <x:author>tc={E7FC7DE5-17A5-49EA-A9A9-48E8BA595105}</x:author>
    <x:author>tc={BE4D1557-9FEC-43FD-B544-3CDDD9E3D511}</x:author>
    <x:author>tc={5D500F96-7364-452F-BE74-30DB01332211}</x:author>
    <x:author>tc={B94B8311-E991-4B84-ACFB-72FF8C6B49B8}</x:author>
    <x:author>tc={8B5BAB86-0722-4AAB-89DE-1A15BE5C5BD5}</x:author>
    <x:author>tc={2CACE19F-1341-45C1-BE34-771B804EF949}</x:author>
    <x:author>tc={DA407E6C-F3BD-480F-9945-DA747284C258}</x:author>
    <x:author>tc={5C114F1B-3601-4ADB-84C9-7FD90D2DA8B0}</x:author>
    <x:author>tc={A48E4C78-47DF-4431-8E20-B624B9A349B2}</x:author>
    <x:author>tc={B28C098E-E1AD-4D67-BDF8-4BDB37CD8137}</x:author>
    <x:author>tc={C3910218-4775-4346-BACD-C67B9447288F}</x:author>
    <x:author>tc={7FA12202-A039-4C15-9F99-84E5684F4984}</x:author>
    <x:author>tc={8C9DAFD0-D41C-4E67-8CB7-AD6F5D210200}</x:author>
    <x:author>tc={88D51E42-CB62-451F-BD33-4F7647A16821}</x:author>
    <x:author>tc={0AD9CD48-663A-4D41-A979-0AE2DBDE95FB}</x:author>
    <x:author>tc={500F2EFE-D792-4768-A1E0-E9ACA94E661B}</x:author>
    <x:author>tc={7D403310-8772-4FEC-A392-8337C3DCB7DF}</x:author>
    <x:author>tc={AAD2EC2E-89A7-4068-9F4F-2F64EF6B93B2}</x:author>
    <x:author>tc={D28A0FFF-D0C0-4046-83EA-58C431DA0A14}</x:author>
    <x:author>tc={C487B467-0F38-4A81-83B0-F1A0E69CCFC2}</x:author>
    <x:author>tc={29070966-2C6B-4C7D-B5B5-444860F7390B}</x:author>
    <x:author>tc={83838CD0-B559-4F67-89E6-A712ED114F46}</x:author>
    <x:author>tc={1A3B93B7-A0B6-4E61-964C-5C70F18FFB50}</x:author>
    <x:author>tc={B4882EAF-FFCC-4C8F-82EE-F8EFEB44C1ED}</x:author>
    <x:author>tc={9A52F480-38F1-4709-B2F1-9EF88A6B09BB}</x:author>
    <x:author>tc={BEECE689-32A8-4CE2-94CA-0B1FA8113AE0}</x:author>
    <x:author>tc={14C339BC-3F31-4F99-BE5A-3E3C6AFD12BA}</x:author>
    <x:author>tc={B4FCA29A-171D-4014-A5E0-72DF5D3751F6}</x:author>
    <x:author>tc={CE843C4F-284F-4DE9-B5EF-C0928798EA75}</x:author>
    <x:author>tc={DCEE2A00-4E82-4BF8-A6DB-172970044BB6}</x:author>
    <x:author>tc={73B33126-8FB5-4D4E-9A18-9DB04B39B1E3}</x:author>
    <x:author>tc={DC0865CF-92D5-4FE8-B17F-A913E0A070FA}</x:author>
    <x:author>tc={742118A2-F41F-45C0-B935-AC6634F990C3}</x:author>
    <x:author>tc={7E6DB39E-20BC-417B-9841-1252C00E0206}</x:author>
    <x:author>tc={AA000B38-5702-4234-9510-7D1A45D3BA7A}</x:author>
    <x:author>tc={A1471B35-D68F-4D20-AD02-85CD338DB83F}</x:author>
    <x:author>tc={DB735B8A-6CE0-467B-BED8-588161D240F4}</x:author>
    <x:author>tc={2653F8A2-23D5-4D68-AC5D-2B888B53457E}</x:author>
    <x:author>tc={5C063EE6-A26D-46F8-AA35-FEC0F752E561}</x:author>
    <x:author>tc={43ED3190-3D08-40C4-824C-AC71914B4603}</x:author>
    <x:author>tc={0BC2FAFC-BAAB-4E84-AE61-75C2D9C810F5}</x:author>
    <x:author>tc={7754BFE8-6994-445D-BFDB-C9ED91AB4405}</x:author>
    <x:author>tc={756FDFAB-68DF-4F1D-A632-651DA92E452F}</x:author>
    <x:author>tc={D1C8C91F-7119-47F8-A0AA-FF7D813216D6}</x:author>
    <x:author>tc={3EC1A71E-040B-41D5-BB0A-18941C0FBD8C}</x:author>
    <x:author>tc={9C04A41F-5467-4252-8781-DD508F195604}</x:author>
    <x:author>tc={4813AE51-BDD3-420B-8B0A-FB15A505F6CB}</x:author>
    <x:author>tc={9112CE88-24B1-4F0D-A8DD-71177389107C}</x:author>
    <x:author>tc={E5A8EF3A-68BC-4314-A641-FF9D6D5C0841}</x:author>
    <x:author>tc={689087AF-34A1-4759-A406-3EC89B1C225A}</x:author>
    <x:author>tc={CA289BC0-A8A6-4845-A18D-918C8AF811FB}</x:author>
    <x:author>tc={7ADFD36E-DD60-4139-82E7-D08825E99D93}</x:author>
    <x:author>tc={325A75BD-E0C4-411A-AD3F-3DD0C1128726}</x:author>
    <x:author>tc={01D616EB-FD5D-4848-AA84-3DE013AC3FC7}</x:author>
    <x:author>tc={0BD3DFFD-004E-4611-8B0D-0C0DACD59014}</x:author>
    <x:author>tc={D4178813-C0F6-44B3-93C5-7305D441ED96}</x:author>
    <x:author>tc={A0805FB7-AD0C-4E7D-9A1A-05B4B6D4FF60}</x:author>
    <x:author>tc={D3F4F5A1-E2AC-4171-927F-FE175AF67BE3}</x:author>
    <x:author>tc={59B64B87-5751-4F22-9D82-63BBB10DBE07}</x:author>
    <x:author>tc={8AF696EF-4002-4F78-81BC-717C30BC7784}</x:author>
    <x:author>tc={0384B6ED-3A3C-46AE-AF15-A8DDACDCDED2}</x:author>
    <x:author>tc={E7889E49-B959-4521-9CA8-FEC0F384A553}</x:author>
    <x:author>tc={EE364D29-17AE-426F-80C8-01F7CB6B193C}</x:author>
    <x:author>tc={FFED92E9-5235-4506-86AA-CD4C549AA623}</x:author>
    <x:author>tc={D405F35D-DF24-45D1-A429-E736DDA7C204}</x:author>
    <x:author>tc={67B76FD5-84E9-42BE-AC8A-F253B3F45BA6}</x:author>
    <x:author>tc={E89EC886-CC26-421E-86BE-ED20C4C39EC9}</x:author>
    <x:author>tc={347861F4-AF64-4F46-8F1F-F893698D8950}</x:author>
    <x:author>tc={2D86D108-4DA2-43CF-A7F9-5EE2AF649F38}</x:author>
    <x:author>tc={9C8F3F7F-99FA-44CF-AE17-E3FF54173033}</x:author>
    <x:author>tc={5928097C-E813-48D3-8C74-39B74E998D10}</x:author>
    <x:author>tc={7F191E15-0863-41C9-8664-58CFBB663F87}</x:author>
    <x:author>tc={D4257DF7-26B2-4EDD-BCE8-57673AC12836}</x:author>
    <x:author>tc={72232DEE-4519-4AD9-B1AB-E145226C998E}</x:author>
    <x:author>tc={799E1C19-0FEA-4925-98DD-F2669440958A}</x:author>
    <x:author>tc={1C9D7A83-AEA1-4D4C-89B9-8E2EAF28A26F}</x:author>
    <x:author>tc={2D6DB20A-50E1-4AEC-97C3-1A051AB19BF0}</x:author>
    <x:author>tc={8E543D0D-5AD1-430A-B346-B665EAC61BF6}</x:author>
    <x:author>tc={CF018C42-3735-4FE5-AD4C-2837D67B97C7}</x:author>
    <x:author>tc={DC819F9B-F52E-4B82-99C4-8A8C5A12702C}</x:author>
    <x:author>tc={673A38E3-F772-41D4-80B6-F0E513D9D4EA}</x:author>
    <x:author>tc={264990D7-70D8-47B6-927E-5D3B2B474A96}</x:author>
    <x:author>tc={ED68024F-A470-4FCD-9B7A-C4337350AAE3}</x:author>
    <x:author>tc={85E7BB21-501F-4141-862B-C9C5696FFAC8}</x:author>
    <x:author>tc={43782736-2564-4479-82D3-4E722F55CC49}</x:author>
    <x:author>tc={862B935C-6259-4D51-9376-E78DFEF71DF8}</x:author>
    <x:author>tc={34608C60-DB03-44DA-BD83-8E2ACDF70193}</x:author>
    <x:author>tc={ED4FE4ED-6684-483F-B100-91B6A1530C16}</x:author>
    <x:author>tc={CAED87B5-8455-4B98-8036-714246A6F777}</x:author>
    <x:author>tc={08AE5757-AA4E-442E-844D-27AEFF2FC13A}</x:author>
    <x:author>tc={472C0916-EA37-497F-AD88-0E63CA751800}</x:author>
    <x:author>tc={99DB913F-BD16-43A1-A38B-848C9A27CE8D}</x:author>
    <x:author>tc={547747B9-B116-429A-B56D-48C863E311B7}</x:author>
    <x:author>tc={FF5A1EC3-6504-4769-8681-F8C1BBAAD64C}</x:author>
    <x:author>tc={2532298C-BCFC-42D1-A4B1-530D76F26B7B}</x:author>
    <x:author>tc={5B063FD7-FD5E-4772-91B9-B06DC49E665F}</x:author>
    <x:author>tc={89B0A38D-7564-4804-826A-6673D4622B88}</x:author>
    <x:author>tc={85104A77-4712-43D7-B34C-7F9B788F58A5}</x:author>
    <x:author>tc={EBBE2C82-4E93-4DD6-B9DC-E5505B0F6423}</x:author>
    <x:author>tc={78556A43-84E4-464B-8C69-1C21FA4656AD}</x:author>
    <x:author>tc={11458601-51CE-47BD-8F13-913E84D6FB77}</x:author>
    <x:author>tc={9C73D56B-6148-4F50-96F2-9D5DD4F08AEE}</x:author>
    <x:author>tc={B1009E03-FC53-43A2-A88A-A9723B682B3E}</x:author>
    <x:author>tc={AF974270-7B7E-42B2-A6EA-DBB263FE7086}</x:author>
    <x:author>tc={16AF22EC-4270-41BC-9F50-4742E2B93EA3}</x:author>
    <x:author>tc={55E3F93B-56E5-4F51-BE4A-7211F56578F6}</x:author>
    <x:author>tc={B3A6350F-AC9F-43C8-9CE5-F9A7AF9F0153}</x:author>
    <x:author>tc={0C56F654-52DC-4277-9212-F0B626B7D367}</x:author>
    <x:author>tc={851C3E6A-90A7-4E08-8F89-6BD2285E60C7}</x:author>
    <x:author>tc={105DA847-DB94-4814-B8C8-B1AD2E560208}</x:author>
    <x:author>tc={05FF01EC-A858-4923-984C-D3EF8737821A}</x:author>
    <x:author>tc={BFFF5268-9E8E-4EBB-94E9-CEB1F80B9DB1}</x:author>
    <x:author>tc={A429E06E-526A-4825-B898-CF166B7897AF}</x:author>
    <x:author>tc={11F45EDD-AE52-4DF8-A452-26895E23840B}</x:author>
    <x:author>tc={1EB6C891-6866-470A-9351-5F33D40191B9}</x:author>
    <x:author>tc={0A893BC7-A476-4ED0-9C93-83BA09D57061}</x:author>
    <x:author>tc={4744C145-33F4-4B0A-901F-752AEDBFF55C}</x:author>
    <x:author>tc={9CA6E1F0-3479-42AF-8CC1-8FF7DCC6A4F5}</x:author>
    <x:author>tc={7D61041F-5BBB-4FA4-9D5C-FB48F894CE24}</x:author>
    <x:author>tc={65E40D2E-934A-46FB-B3F7-A5F156EE73FF}</x:author>
    <x:author>tc={AB0C54EF-35C1-43A3-A73B-E75F0D58DCAB}</x:author>
    <x:author>tc={5AB030E6-4D1A-4C7A-8767-67F0175DEEB8}</x:author>
    <x:author>tc={2B171312-3164-4089-9E63-0B2C80611FAE}</x:author>
    <x:author>tc={8DF69F3A-3A16-41EB-B50C-599448576AEA}</x:author>
    <x:author>tc={796E186A-BED8-4D66-9179-428A6A3DAD68}</x:author>
    <x:author>tc={642AD9F6-FFB0-482A-8ED5-C7F3ECE66F4B}</x:author>
    <x:author>tc={B37F65C4-C1E7-4935-93DE-F80D8567191A}</x:author>
    <x:author>tc={8E539118-8963-440D-9014-6B5BFE5CEE7E}</x:author>
    <x:author>tc={9E36ED9E-6C6E-468B-9C2B-570314A6CE09}</x:author>
    <x:author>tc={928B709D-5B01-42F2-9D5A-F878DC0AB0B0}</x:author>
    <x:author>tc={BDE5CB85-63AD-4D1C-94D1-2C747EF8920D}</x:author>
    <x:author>tc={61E329E0-20BB-4D05-B4F5-EAA1921F1AE3}</x:author>
    <x:author>tc={6436DD68-DF9A-42BD-880D-E824EEC5B4FB}</x:author>
    <x:author>tc={29A317E6-332D-4A0A-B9BD-365B40A491AA}</x:author>
    <x:author>tc={FFF0BF80-2F0D-4F7C-9D9C-7310A0E19524}</x:author>
    <x:author>tc={E5A54EE9-DC17-4DF2-8A3C-CDC72DB0815D}</x:author>
    <x:author>tc={98978C90-AA1D-4E6A-A5D0-EE1D039D8AED}</x:author>
    <x:author>tc={E96A21DE-1D28-4ED3-9980-0AA8FFF10C1E}</x:author>
    <x:author>tc={C9590771-2A33-46F1-AF62-596A25E6B532}</x:author>
    <x:author>tc={8B8BDF0A-91BD-48E4-9B8C-F4FFE95ABAC9}</x:author>
    <x:author>tc={08A606ED-E5E8-4A5C-B6A3-F399BBF7AE97}</x:author>
    <x:author>tc={40A607A7-4B65-4D0F-846A-723BFBE33541}</x:author>
    <x:author>tc={71A2BC58-4008-4435-A43E-3EA15BB8502A}</x:author>
    <x:author>tc={59048699-7020-4984-B454-24243D0D5127}</x:author>
    <x:author>tc={C3931B2E-CA44-4A19-9D23-B58248514703}</x:author>
    <x:author>tc={D05E2513-2534-41D9-945F-179C2842D0B1}</x:author>
    <x:author>tc={938382AA-7E37-43F5-8A09-1C08409590F5}</x:author>
    <x:author>tc={663C4AD5-5B11-4E3E-8341-AEF60A42F658}</x:author>
    <x:author>tc={8BE08B99-4725-4FC8-8AC6-41455BECF046}</x:author>
    <x:author>tc={83AC2B42-7B99-4B64-B326-A80BC42B49A4}</x:author>
    <x:author>tc={E15B85B3-B5D8-4455-81D6-EC6BE075E671}</x:author>
    <x:author>tc={A1923E84-6B55-4034-BD60-F96AE32E0E08}</x:author>
    <x:author>tc={AEB3E5F9-035B-4C71-84E7-90E37C52AFBA}</x:author>
    <x:author>tc={567D86D3-9B6E-4461-AB0D-32BE795BC7F1}</x:author>
    <x:author>tc={979DCF91-3CAA-47A2-99D6-F907CB2B6DC5}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E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D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E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C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D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E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единица измерения. Константа Проверка: 2026-09-03.</x:t>
        </x:r>
      </x:text>
    </x:comment>
    <x:comment ref="C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Встроен ниже на этом листе. Скрин: цена именно пакета из 4 мест. Проверка: 2026-09-03.</x:t>
        </x:r>
      </x:text>
    </x:comment>
    <x:comment ref="D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Встроен ниже на этом листе. Скрин: цена именно пакета из 4 мест. Проверка: 2026-09-03.</x:t>
        </x:r>
      </x:text>
    </x:comment>
    <x:comment ref="E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Встроен ниже на этом листе. Скрин: цена именно пакета из 4 мест. Проверка: 2026-09-03.</x:t>
        </x:r>
      </x:text>
    </x:comment>
    <x:comment ref="C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Встроен ниже на этом листе. Не экстраполировать линейно на 5–1000 мест. Проверка: 2026-09-03.</x:t>
        </x:r>
      </x:text>
    </x:comment>
    <x:comment ref="D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Встроен ниже на этом листе. Не экстраполировать линейно на 5–1000 мест. Проверка: 2026-09-03.</x:t>
        </x:r>
      </x:text>
    </x:comment>
    <x:comment ref="E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Встроен ниже на этом листе. Не экстраполировать линейно на 5–1000 мест. Проверка: 2026-09-03.</x:t>
        </x:r>
      </x:text>
    </x:comment>
    <x:comment ref="C1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— технический placeholder, НЕ утверждение об освобождении. Проверка: 2026-09-03.</x:t>
        </x:r>
      </x:text>
    </x:comment>
    <x:comment ref="D1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— технический placeholder, НЕ утверждение об освобождении. Проверка: 2026-09-03.</x:t>
        </x:r>
      </x:text>
    </x:comment>
    <x:comment ref="E1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— технический placeholder, НЕ утверждение об освобождении. Проверка: 2026-09-03.</x:t>
        </x:r>
      </x:text>
    </x:comment>
    <x:comment ref="C1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после базового обслуживания и комиссий; только для bundle. Проверка: 2026-09-03.</x:t>
        </x:r>
      </x:text>
    </x:comment>
    <x:comment ref="D1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после базового обслуживания и комиссий; только для bundle. Проверка: 2026-09-03.</x:t>
        </x:r>
      </x:text>
    </x:comment>
    <x:comment ref="E1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после базового обслуживания и комиссий; только для bundle. Проверка: 2026-09-03.</x:t>
        </x:r>
      </x:text>
    </x:comment>
    <x:comment ref="C1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внутренний порог для эксперимента, не отраслевой норматив. Проверка: 2026-09-03.</x:t>
        </x:r>
      </x:text>
    </x:comment>
    <x:comment ref="D12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внутренний порог для эксперимента, не отраслевой норматив. Проверка: 2026-09-03.</x:t>
        </x:r>
      </x:text>
    </x:comment>
    <x:comment ref="E1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внутренний порог для эксперимента, не отраслевой норматив. Проверка: 2026-09-03.</x:t>
        </x:r>
      </x:text>
    </x:comment>
    <x:comment ref="C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ограниченный горизонт, не бесконечная жизнь клиента. Проверка: 2026-09-03.</x:t>
        </x:r>
      </x:text>
    </x:comment>
    <x:comment ref="D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ограниченный горизонт, не бесконечная жизнь клиента. Проверка: 2026-09-03.</x:t>
        </x:r>
      </x:text>
    </x:comment>
    <x:comment ref="E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ограниченный горизонт, не бесконечная жизнь клиента. Проверка: 2026-09-03.</x:t>
        </x:r>
      </x:text>
    </x:comment>
    <x:comment ref="C1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Модельный поток кейса; не средняя нагрузка MWS. Проверка: 2026-09-03.</x:t>
        </x:r>
      </x:text>
    </x:comment>
    <x:comment ref="D16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Модельный поток кейса; не средняя нагрузка MWS. Проверка: 2026-09-03.</x:t>
        </x:r>
      </x:text>
    </x:comment>
    <x:comment ref="E1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Модельный поток кейса; не средняя нагрузка MWS. Проверка: 2026-09-03.</x:t>
        </x:r>
      </x:text>
    </x:comment>
    <x:comment ref="C17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Модельная исходная трудоёмкость. Проверка: 2026-09-03.</x:t>
        </x:r>
      </x:text>
    </x:comment>
    <x:comment ref="D17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Модельная исходная трудоёмкость. Проверка: 2026-09-03.</x:t>
        </x:r>
      </x:text>
    </x:comment>
    <x:comment ref="E1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Модельная исходная трудоёмкость. Проверка: 2026-09-03.</x:t>
        </x:r>
      </x:text>
    </x:comment>
    <x:comment ref="C1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 кейса; не зарплата сотрудника. Проверка: 2026-09-03.</x:t>
        </x:r>
      </x:text>
    </x:comment>
    <x:comment ref="D1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 кейса; не зарплата сотрудника. Проверка: 2026-09-03.</x:t>
        </x:r>
      </x:text>
    </x:comment>
    <x:comment ref="E1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data/raw/case-brief.txt. Модель кейса; не зарплата сотрудника. Проверка: 2026-09-03.</x:t>
        </x:r>
      </x:text>
    </x:comment>
    <x:comment ref="C1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остаток потока по-прежнему обрабатывается вручную. Проверка: 2026-09-03.</x:t>
        </x:r>
      </x:text>
    </x:comment>
    <x:comment ref="D19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остаток потока по-прежнему обрабатывается вручную. Проверка: 2026-09-03.</x:t>
        </x:r>
      </x:text>
    </x:comment>
    <x:comment ref="E1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остаток потока по-прежнему обрабатывается вручную. Проверка: 2026-09-03.</x:t>
        </x:r>
      </x:text>
    </x:comment>
    <x:comment ref="C2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70% — цель кейса, а не достигнутый результат. Проверка: 2026-09-03.</x:t>
        </x:r>
      </x:text>
    </x:comment>
    <x:comment ref="D20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70% — цель кейса, а не достигнутый результат. Проверка: 2026-09-03.</x:t>
        </x:r>
      </x:text>
    </x:comment>
    <x:comment ref="E20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70% — цель кейса, а не достигнутый результат. Проверка: 2026-09-03.</x:t>
        </x:r>
      </x:text>
    </x:comment>
    <x:comment ref="C2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включая preview/подтверждение; НЕ медиана. Проверка: 2026-09-03.</x:t>
        </x:r>
      </x:text>
    </x:comment>
    <x:comment ref="D2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включая preview/подтверждение; НЕ медиана. Проверка: 2026-09-03.</x:t>
        </x:r>
      </x:text>
    </x:comment>
    <x:comment ref="E21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включая preview/подтверждение; НЕ медиана. Проверка: 2026-09-03.</x:t>
        </x:r>
      </x:text>
    </x:comment>
    <x:comment ref="C2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труд с доработками, включая неудачные попытки. Проверка: 2026-09-03.</x:t>
        </x:r>
      </x:text>
    </x:comment>
    <x:comment ref="D2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труд с доработками, включая неудачные попытки. Проверка: 2026-09-03.</x:t>
        </x:r>
      </x:text>
    </x:comment>
    <x:comment ref="E2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труд с доработками, включая неудачные попытки. Проверка: 2026-09-03.</x:t>
        </x:r>
      </x:text>
    </x:comment>
    <x:comment ref="C2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реально избегаемый найм, сверхурочные, подряд; не вся ёмкость. Проверка: 2026-09-03.</x:t>
        </x:r>
      </x:text>
    </x:comment>
    <x:comment ref="D2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реально избегаемый найм, сверхурочные, подряд; не вся ёмкость. Проверка: 2026-09-03.</x:t>
        </x:r>
      </x:text>
    </x:comment>
    <x:comment ref="E2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реально избегаемый найм, сверхурочные, подряд; не вся ёмкость. Проверка: 2026-09-03.</x:t>
        </x:r>
      </x:text>
    </x:comment>
    <x:comment ref="C24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= уже платит. Поставьте 1 для перехода с Freemium. Проверка: 2026-09-03.</x:t>
        </x:r>
      </x:text>
    </x:comment>
    <x:comment ref="D24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= уже платит. Поставьте 1 для перехода с Freemium. Проверка: 2026-09-03.</x:t>
        </x:r>
      </x:text>
    </x:comment>
    <x:comment ref="E24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= уже платит. Поставьте 1 для перехода с Freemium. Проверка: 2026-09-03.</x:t>
        </x:r>
      </x:text>
    </x:comment>
    <x:comment ref="C2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настройка таблиц, правил и обучение. Проверка: 2026-09-03.</x:t>
        </x:r>
      </x:text>
    </x:comment>
    <x:comment ref="D25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настройка таблиц, правил и обучение. Проверка: 2026-09-03.</x:t>
        </x:r>
      </x:text>
    </x:comment>
    <x:comment ref="E25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настройка таблиц, правил и обучение. Проверка: 2026-09-03.</x:t>
        </x:r>
      </x:text>
    </x:comment>
    <x:comment ref="C2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отдельные часы, не включённые во время заявки. Проверка: 2026-09-03.</x:t>
        </x:r>
      </x:text>
    </x:comment>
    <x:comment ref="D2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отдельные часы, не включённые во время заявки. Проверка: 2026-09-03.</x:t>
        </x:r>
      </x:text>
    </x:comment>
    <x:comment ref="E2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отдельные часы, не включённые во время заявки. Проверка: 2026-09-03.</x:t>
        </x:r>
      </x:text>
    </x:comment>
    <x:comment ref="C29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отключает только LLM-затраты. Время без LLM задайте заново. Проверка: 2026-09-03.</x:t>
        </x:r>
      </x:text>
    </x:comment>
    <x:comment ref="D29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отключает только LLM-затраты. Время без LLM задайте заново. Проверка: 2026-09-03.</x:t>
        </x:r>
      </x:text>
    </x:comment>
    <x:comment ref="E29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0 отключает только LLM-затраты. Время без LLM задайте заново. Проверка: 2026-09-03.</x:t>
        </x:r>
      </x:text>
    </x:comment>
    <x:comment ref="C30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неоднозначные случаи, а не весь поток. Проверка: 2026-09-03.</x:t>
        </x:r>
      </x:text>
    </x:comment>
    <x:comment ref="D30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неоднозначные случаи, а не весь поток. Проверка: 2026-09-03.</x:t>
        </x:r>
      </x:text>
    </x:comment>
    <x:comment ref="E30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неоднозначные случаи, а не весь поток. Проверка: 2026-09-03.</x:t>
        </x:r>
      </x:text>
    </x:comment>
    <x:comment ref="C31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измерить вместе с инструкциями и справочным контекстом. Проверка: 2026-09-03.</x:t>
        </x:r>
      </x:text>
    </x:comment>
    <x:comment ref="D31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измерить вместе с инструкциями и справочным контекстом. Проверка: 2026-09-03.</x:t>
        </x:r>
      </x:text>
    </x:comment>
    <x:comment ref="E31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измерить вместе с инструкциями и справочным контекстом. Проверка: 2026-09-03.</x:t>
        </x:r>
      </x:text>
    </x:comment>
    <x:comment ref="C32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измерить, включая оплачиваемые скрытые токены, если есть. Проверка: 2026-09-03.</x:t>
        </x:r>
      </x:text>
    </x:comment>
    <x:comment ref="D32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измерить, включая оплачиваемые скрытые токены, если есть. Проверка: 2026-09-03.</x:t>
        </x:r>
      </x:text>
    </x:comment>
    <x:comment ref="E32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измерить, включая оплачиваемые скрытые токены, если есть. Проверка: 2026-09-03.</x:t>
        </x:r>
      </x:text>
    </x:comment>
    <x:comment ref="C33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НЕ тариф конкретного провайдера; заменить договорной ценой. Проверка: 2026-09-03.</x:t>
        </x:r>
      </x:text>
    </x:comment>
    <x:comment ref="D33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НЕ тариф конкретного провайдера; заменить договорной ценой. Проверка: 2026-09-03.</x:t>
        </x:r>
      </x:text>
    </x:comment>
    <x:comment ref="E33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НЕ тариф конкретного провайдера; заменить договорной ценой. Проверка: 2026-09-03.</x:t>
        </x:r>
      </x:text>
    </x:comment>
    <x:comment ref="C34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экономическая стоимость в RUB; не используется FX. Проверка: 2026-09-03.</x:t>
        </x:r>
      </x:text>
    </x:comment>
    <x:comment ref="D34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экономическая стоимость в RUB; не используется FX. Проверка: 2026-09-03.</x:t>
        </x:r>
      </x:text>
    </x:comment>
    <x:comment ref="E34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экономическая стоимость в RUB; не используется FX. Проверка: 2026-09-03.</x:t>
        </x:r>
      </x:text>
    </x:comment>
    <x:comment ref="C3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множитель повторов/ошибок; не биллится клиенту повторно. Проверка: 2026-09-03.</x:t>
        </x:r>
      </x:text>
    </x:comment>
    <x:comment ref="D3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множитель повторов/ошибок; не биллится клиенту повторно. Проверка: 2026-09-03.</x:t>
        </x:r>
      </x:text>
    </x:comment>
    <x:comment ref="E35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множитель повторов/ошибок; не биллится клиенту повторно. Проверка: 2026-09-03.</x:t>
        </x:r>
      </x:text>
    </x:comment>
    <x:comment ref="C3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дополнительный compute; исключить уже покрытую базу. Проверка: 2026-09-03.</x:t>
        </x:r>
      </x:text>
    </x:comment>
    <x:comment ref="D3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дополнительный compute; исключить уже покрытую базу. Проверка: 2026-09-03.</x:t>
        </x:r>
      </x:text>
    </x:comment>
    <x:comment ref="E36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дополнительный compute; исключить уже покрытую базу. Проверка: 2026-09-03.</x:t>
        </x:r>
      </x:text>
    </x:comment>
    <x:comment ref="C37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среднее число инфраструктурных операций; НЕ единица оплаты. Проверка: 2026-09-03.</x:t>
        </x:r>
      </x:text>
    </x:comment>
    <x:comment ref="D37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среднее число инфраструктурных операций; НЕ единица оплаты. Проверка: 2026-09-03.</x:t>
        </x:r>
      </x:text>
    </x:comment>
    <x:comment ref="E37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среднее число инфраструктурных операций; НЕ единица оплаты. Проверка: 2026-09-03.</x:t>
        </x:r>
      </x:text>
    </x:comment>
    <x:comment ref="C38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дополнительный ресурс, не пользовательский тариф MWS. Проверка: 2026-09-03.</x:t>
        </x:r>
      </x:text>
    </x:comment>
    <x:comment ref="D38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дополнительный ресурс, не пользовательский тариф MWS. Проверка: 2026-09-03.</x:t>
        </x:r>
      </x:text>
    </x:comment>
    <x:comment ref="E38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дополнительный ресурс, не пользовательский тариф MWS. Проверка: 2026-09-03.</x:t>
        </x:r>
      </x:text>
    </x:comment>
    <x:comment ref="C39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сумма по пространствам одного договора; зависит от retention. Проверка: 2026-09-03.</x:t>
        </x:r>
      </x:text>
    </x:comment>
    <x:comment ref="D39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сумма по пространствам одного договора; зависит от retention. Проверка: 2026-09-03.</x:t>
        </x:r>
      </x:text>
    </x:comment>
    <x:comment ref="E3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сумма по пространствам одного договора; зависит от retention. Проверка: 2026-09-03.</x:t>
        </x:r>
      </x:text>
    </x:comment>
    <x:comment ref="C40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поддержка фичи, не базового MWS. Проверка: 2026-09-03.</x:t>
        </x:r>
      </x:text>
    </x:comment>
    <x:comment ref="D40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поддержка фичи, не базового MWS. Проверка: 2026-09-03.</x:t>
        </x:r>
      </x:text>
    </x:comment>
    <x:comment ref="E40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поддержка фичи, не базового MWS. Проверка: 2026-09-03.</x:t>
        </x:r>
      </x:text>
    </x:comment>
    <x:comment ref="C41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распределённые обращения; не ручной просмотр каждой заявки. Проверка: 2026-09-03.</x:t>
        </x:r>
      </x:text>
    </x:comment>
    <x:comment ref="D41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распределённые обращения; не ручной просмотр каждой заявки. Проверка: 2026-09-03.</x:t>
        </x:r>
      </x:text>
    </x:comment>
    <x:comment ref="E41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распределённые обращения; не ручной просмотр каждой заявки. Проверка: 2026-09-03.</x:t>
        </x:r>
      </x:text>
    </x:comment>
    <x:comment ref="C42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экономическая стоимость сотрудника. Проверка: 2026-09-03.</x:t>
        </x:r>
      </x:text>
    </x:comment>
    <x:comment ref="D42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экономическая стоимость сотрудника. Проверка: 2026-09-03.</x:t>
        </x:r>
      </x:text>
    </x:comment>
    <x:comment ref="E42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экономическая стоимость сотрудника. Проверка: 2026-09-03.</x:t>
        </x:r>
      </x:text>
    </x:comment>
    <x:comment ref="C43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 исходного чека, включая возвращённые платежи. Проверка: 2026-09-03.</x:t>
        </x:r>
      </x:text>
    </x:comment>
    <x:comment ref="D43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 исходного чека, включая возвращённые платежи. Проверка: 2026-09-03.</x:t>
        </x:r>
      </x:text>
    </x:comment>
    <x:comment ref="E43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 исходного чека, включая возвращённые платежи. Проверка: 2026-09-03.</x:t>
        </x:r>
      </x:text>
    </x:comment>
    <x:comment ref="C44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внутренние затраты инцидентов; не возврат выручки. Проверка: 2026-09-03.</x:t>
        </x:r>
      </x:text>
    </x:comment>
    <x:comment ref="D44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внутренние затраты инцидентов; не возврат выручки. Проверка: 2026-09-03.</x:t>
        </x:r>
      </x:text>
    </x:comment>
    <x:comment ref="E44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внутренние затраты инцидентов; не возврат выручки. Проверка: 2026-09-03.</x:t>
        </x:r>
      </x:text>
    </x:comment>
    <x:comment ref="C47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тестовые цены; весь помощник, не только LLM. Проверка: 2026-09-03.</x:t>
        </x:r>
      </x:text>
    </x:comment>
    <x:comment ref="D47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тестовые цены; весь помощник, не только LLM. Проверка: 2026-09-03.</x:t>
        </x:r>
      </x:text>
    </x:comment>
    <x:comment ref="E47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тестовые цены; весь помощник, не только LLM. Проверка: 2026-09-03.</x:t>
        </x:r>
      </x:text>
    </x:comment>
    <x:comment ref="C48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месячная квота; повторы той же версии не списываются. Проверка: 2026-09-03.</x:t>
        </x:r>
      </x:text>
    </x:comment>
    <x:comment ref="D48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месячная квота; повторы той же версии не списываются. Проверка: 2026-09-03.</x:t>
        </x:r>
      </x:text>
    </x:comment>
    <x:comment ref="E48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месячная квота; повторы той же версии не списываются. Проверка: 2026-09-03.</x:t>
        </x:r>
      </x:text>
    </x:comment>
    <x:comment ref="C49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дополнительная уникальная подготовка; только по согласию. Проверка: 2026-09-03.</x:t>
        </x:r>
      </x:text>
    </x:comment>
    <x:comment ref="D49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дополнительная уникальная подготовка; только по согласию. Проверка: 2026-09-03.</x:t>
        </x:r>
      </x:text>
    </x:comment>
    <x:comment ref="E49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дополнительная уникальная подготовка; только по согласию. Проверка: 2026-09-03.</x:t>
        </x:r>
      </x:text>
    </x:comment>
    <x:comment ref="C50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альтернатива без абонплаты, а не доплата к строке 47. Проверка: 2026-09-03.</x:t>
        </x:r>
      </x:text>
    </x:comment>
    <x:comment ref="D50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альтернатива без абонплаты, а не доплата к строке 47. Проверка: 2026-09-03.</x:t>
        </x:r>
      </x:text>
    </x:comment>
    <x:comment ref="E50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альтернатива без абонплаты, а не доплата к строке 47. Проверка: 2026-09-03.</x:t>
        </x:r>
      </x:text>
    </x:comment>
    <x:comment ref="C51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expansion CAC для текущего клиента, не полный CAC MWS. Проверка: 2026-09-03.</x:t>
        </x:r>
      </x:text>
    </x:comment>
    <x:comment ref="D51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expansion CAC для текущего клиента, не полный CAC MWS. Проверка: 2026-09-03.</x:t>
        </x:r>
      </x:text>
    </x:comment>
    <x:comment ref="E51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expansion CAC для текущего клиента, не полный CAC MWS. Проверка: 2026-09-03.</x:t>
        </x:r>
      </x:text>
    </x:comment>
    <x:comment ref="C52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учитывается отдельно от CAC и текущей поддержки. Проверка: 2026-09-03.</x:t>
        </x:r>
      </x:text>
    </x:comment>
    <x:comment ref="D52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учитывается отдельно от CAC и текущей поддержки. Проверка: 2026-09-03.</x:t>
        </x:r>
      </x:text>
    </x:comment>
    <x:comment ref="E52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учитывается отдельно от CAC и текущей поддержки. Проверка: 2026-09-03.</x:t>
        </x:r>
      </x:text>
    </x:comment>
    <x:comment ref="C53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месячная подписка модуля; НЕ churn годового Unlimit. Проверка: 2026-09-03.</x:t>
        </x:r>
      </x:text>
    </x:comment>
    <x:comment ref="D53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месячная подписка модуля; НЕ churn годового Unlimit. Проверка: 2026-09-03.</x:t>
        </x:r>
      </x:text>
    </x:comment>
    <x:comment ref="E53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месячная подписка модуля; НЕ churn годового Unlimit. Проверка: 2026-09-03.</x:t>
        </x:r>
      </x:text>
    </x:comment>
    <x:comment ref="C54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сопровождение/QA/продукт; без поддержки из строк 40–42. Проверка: 2026-09-03.</x:t>
        </x:r>
      </x:text>
    </x:comment>
    <x:comment ref="D54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сопровождение/QA/продукт; без поддержки из строк 40–42. Проверка: 2026-09-03.</x:t>
        </x:r>
      </x:text>
    </x:comment>
    <x:comment ref="E54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сопровождение/QA/продукт; без поддержки из строк 40–42. Проверка: 2026-09-03.</x:t>
        </x:r>
      </x:text>
    </x:comment>
    <x:comment ref="C55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R&amp;D, безопасность, биллинг, QA; НЕ бюджет хакатонного виджета. Проверка: 2026-09-03.</x:t>
        </x:r>
      </x:text>
    </x:comment>
    <x:comment ref="D55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R&amp;D, безопасность, биллинг, QA; НЕ бюджет хакатонного виджета. Проверка: 2026-09-03.</x:t>
        </x:r>
      </x:text>
    </x:comment>
    <x:comment ref="E55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R&amp;D, безопасность, биллинг, QA; НЕ бюджет хакатонного виджета. Проверка: 2026-09-03.</x:t>
        </x:r>
      </x:text>
    </x:comment>
    <x:comment ref="C56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равномерный поток, не прогноз продаж и не TAM. Проверка: 2026-09-03.</x:t>
        </x:r>
      </x:text>
    </x:comment>
    <x:comment ref="D56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равномерный поток, не прогноз продаж и не TAM. Проверка: 2026-09-03.</x:t>
        </x:r>
      </x:text>
    </x:comment>
    <x:comment ref="E56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равномерный поток, не прогноз продаж и не TAM. Проверка: 2026-09-03.</x:t>
        </x:r>
      </x:text>
    </x:comment>
    <x:comment ref="C57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действующие подписки, если модель используют после запуска. Проверка: 2026-09-03.</x:t>
        </x:r>
      </x:text>
    </x:comment>
    <x:comment ref="D57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действующие подписки, если модель используют после запуска. Проверка: 2026-09-03.</x:t>
        </x:r>
      </x:text>
    </x:comment>
    <x:comment ref="E57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действующие подписки, если модель используют после запуска. Проверка: 2026-09-03.</x:t>
        </x:r>
      </x:text>
    </x:comment>
    <x:comment ref="C58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условная база для bundle, не реальные данные MWS. Проверка: 2026-09-03.</x:t>
        </x:r>
      </x:text>
    </x:comment>
    <x:comment ref="D58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условная база для bundle, не реальные данные MWS. Проверка: 2026-09-03.</x:t>
        </x:r>
      </x:text>
    </x:comment>
    <x:comment ref="E58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условная база для bundle, не реальные данные MWS. Проверка: 2026-09-03.</x:t>
        </x:r>
      </x:text>
    </x:comment>
    <x:comment ref="C59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стоимость несут все активные, а выручка не вся дополнительная. Проверка: 2026-09-03.</x:t>
        </x:r>
      </x:text>
    </x:comment>
    <x:comment ref="D59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стоимость несут все активные, а выручка не вся дополнительная. Проверка: 2026-09-03.</x:t>
        </x:r>
      </x:text>
    </x:comment>
    <x:comment ref="E59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стоимость несут все активные, а выручка не вся дополнительная. Проверка: 2026-09-03.</x:t>
        </x:r>
      </x:text>
    </x:comment>
    <x:comment ref="C60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запас активных за месяц, НЕ новые продажи каждый месяц. Проверка: 2026-09-03.</x:t>
        </x:r>
      </x:text>
    </x:comment>
    <x:comment ref="D60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запас активных за месяц, НЕ новые продажи каждый месяц. Проверка: 2026-09-03.</x:t>
        </x:r>
      </x:text>
    </x:comment>
    <x:comment ref="E60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запас активных за месяц, НЕ новые продажи каждый месяц. Проверка: 2026-09-03.</x:t>
        </x:r>
      </x:text>
    </x:comment>
    <x:comment ref="C61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bundle; бюджет демо не входит в модель add-on. Проверка: 2026-09-03.</x:t>
        </x:r>
      </x:text>
    </x:comment>
    <x:comment ref="D61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bundle; бюджет демо не входит в модель add-on. Проверка: 2026-09-03.</x:t>
        </x:r>
      </x:text>
    </x:comment>
    <x:comment ref="E61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только bundle; бюджет демо не входит в модель add-on. Проверка: 2026-09-03.</x:t>
        </x:r>
      </x:text>
    </x:comment>
    <x:comment ref="C62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дополнительный COGS, отдельный от платного потока. Проверка: 2026-09-03.</x:t>
        </x:r>
      </x:text>
    </x:comment>
    <x:comment ref="D62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дополнительный COGS, отдельный от платного потока. Проверка: 2026-09-03.</x:t>
        </x:r>
      </x:text>
    </x:comment>
    <x:comment ref="E62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полный дополнительный COGS, отдельный от платного потока. Проверка: 2026-09-03.</x:t>
        </x:r>
      </x:text>
    </x:comment>
    <x:comment ref="C63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суммарные минуты; не складывать с поддержкой платного аккаунта. Проверка: 2026-09-03.</x:t>
        </x:r>
      </x:text>
    </x:comment>
    <x:comment ref="D63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суммарные минуты; не складывать с поддержкой платного аккаунта. Проверка: 2026-09-03.</x:t>
        </x:r>
      </x:text>
    </x:comment>
    <x:comment ref="E63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суммарные минуты; не складывать с поддержкой платного аккаунта. Проверка: 2026-09-03.</x:t>
        </x:r>
      </x:text>
    </x:comment>
    <x:comment ref="C64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1 = свой API-ключ клиента; стоимость переносится, не исчезает. Проверка: 2026-09-03.</x:t>
        </x:r>
      </x:text>
    </x:comment>
    <x:comment ref="D64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1 = свой API-ключ клиента; стоимость переносится, не исчезает. Проверка: 2026-09-03.</x:t>
        </x:r>
      </x:text>
    </x:comment>
    <x:comment ref="E64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1 = свой API-ключ клиента; стоимость переносится, не исчезает. Проверка: 2026-09-03.</x:t>
        </x:r>
      </x:text>
    </x:comment>
    <x:comment ref="C65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сокращают доход модуля; без дублирования в инцидентных расходах. Проверка: 2026-09-03.</x:t>
        </x:r>
      </x:text>
    </x:comment>
    <x:comment ref="D65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сокращают доход модуля; без дублирования в инцидентных расходах. Проверка: 2026-09-03.</x:t>
        </x:r>
      </x:text>
    </x:comment>
    <x:comment ref="E65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рабочая гипотеза, фактические данные отсутствуют. H: сокращают доход модуля; без дублирования в инцидентных расходах. Проверка: 2026-09-03.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&quot;—&quot;"/>
    <x:numFmt numFmtId="201" formatCode="0.0%;[Red](0.0%);&quot;—&quot;"/>
    <x:numFmt numFmtId="202" formatCode="#,##0.0;[Red](#,##0.0);&quot;—&quot;"/>
    <x:numFmt numFmtId="203" formatCode="0.00"/>
    <x:numFmt numFmtId="204" formatCode="0.000"/>
    <x:numFmt numFmtId="205" formatCode="General"/>
  </x:numFmts>
  <x:fonts count="8">
    <x:font>
      <x:sz val="11"/>
      <x:name val="Carlito"/>
    </x:font>
    <x:font>
      <x:sz val="11"/>
      <x:color rgb="FF172334"/>
      <x:name val="Arial"/>
    </x:font>
    <x:font>
      <x:b/>
      <x:sz val="20"/>
      <x:color rgb="FFFFFFFF"/>
      <x:name val="Arial"/>
    </x:font>
    <x:font>
      <x:sz val="10"/>
      <x:color rgb="FF617083"/>
      <x:name val="Arial"/>
    </x:font>
    <x:font>
      <x:b/>
      <x:sz val="11"/>
      <x:color rgb="FF172334"/>
      <x:name val="Arial"/>
    </x:font>
    <x:font>
      <x:sz val="11"/>
      <x:color rgb="FF1663B7"/>
      <x:name val="Arial"/>
    </x:font>
    <x:font>
      <x:b/>
      <x:sz val="11"/>
      <x:color rgb="FFFFFFFF"/>
      <x:name val="Arial"/>
    </x:font>
    <x:font>
      <x:sz val="10"/>
      <x:color rgb="FF17233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4"/>
      </x:patternFill>
    </x:fill>
    <x:fill>
      <x:patternFill patternType="solid">
        <x:fgColor rgb="FFEAF4F5"/>
      </x:patternFill>
    </x:fill>
    <x:fill>
      <x:patternFill patternType="solid">
        <x:fgColor rgb="FFFFF1D2"/>
      </x:patternFill>
    </x:fill>
    <x:fill>
      <x:patternFill patternType="solid">
        <x:fgColor rgb="FF087F8C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color rgb="FFB42318"/>
      </x:font>
      <x:fill>
        <x:patternFill patternType="solid">
          <x:bgColor rgb="FFFBE3E0"/>
        </x:patternFill>
      </x:fill>
    </x:dxf>
    <x:dxf>
      <x:font>
        <x:color rgb="FFB42318"/>
      </x:font>
      <x:fill>
        <x:patternFill patternType="solid">
          <x:bgColor rgb="FFFBE3E0"/>
        </x:patternFill>
      </x:fill>
    </x:dxf>
    <x:dxf>
      <x:font>
        <x:color rgb="FFB42318"/>
      </x:font>
      <x:fill>
        <x:patternFill patternType="solid">
          <x:bgColor rgb="FFFBE3E0"/>
        </x:patternFill>
      </x:fill>
    </x:dxf>
    <x:dxf>
      <x:fill>
        <x:patternFill patternType="solid">
          <x:bgColor rgb="FFFBE3E0"/>
        </x:patternFill>
      </x:fill>
    </x:dxf>
    <x:dxf>
      <x:font>
        <x:color rgb="FFB42318"/>
      </x:font>
      <x:fill>
        <x:patternFill patternType="solid">
          <x:bgColor rgb="FFFBE3E0"/>
        </x:patternFill>
      </x:fill>
    </x:dxf>
    <x:dxf>
      <x:font>
        <x:color rgb="FF176448"/>
      </x:font>
      <x:fill>
        <x:patternFill patternType="solid">
          <x:bgColor rgb="FFE4F4EC"/>
        </x:patternFill>
      </x:fill>
    </x:dxf>
    <x:dxf>
      <x:font>
        <x:color rgb="FFB42318"/>
      </x:font>
      <x:fill>
        <x:patternFill patternType="solid">
          <x:bgColor rgb="FFFBE3E0"/>
        </x:patternFill>
      </x:fill>
    </x:dxf>
    <x:dxf>
      <x:font>
        <x:color rgb="FF176448"/>
      </x:font>
      <x:fill>
        <x:patternFill patternType="solid">
          <x:bgColor rgb="FFE4F4EC"/>
        </x:patternFill>
      </x:fill>
    </x:dxf>
    <x:dxf>
      <x:font>
        <x:color rgb="FFB42318"/>
      </x:font>
      <x:fill>
        <x:patternFill patternType="solid">
          <x:bgColor rgb="FFFBE3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c0065260743f2" /><Relationship Type="http://schemas.openxmlformats.org/officeDocument/2006/relationships/theme" Target="/xl/theme/theme1.xml" Id="R9683532471894582" /><Relationship Type="http://schemas.openxmlformats.org/officeDocument/2006/relationships/sharedStrings" Target="/xl/sharedStrings.xml" Id="R092c40b296604f6c" /><Relationship Type="http://schemas.openxmlformats.org/officeDocument/2006/relationships/worksheet" Target="/xl/worksheets/sheet1.xml" Id="R2f6a0d9cf72d48b1" /><Relationship Type="http://schemas.openxmlformats.org/officeDocument/2006/relationships/worksheet" Target="/xl/worksheets/sheet2.xml" Id="R22a78891072a410d" /><Relationship Type="http://schemas.openxmlformats.org/officeDocument/2006/relationships/worksheet" Target="/xl/worksheets/sheet3.xml" Id="R4b50c50836024716" /><Relationship Type="http://schemas.openxmlformats.org/officeDocument/2006/relationships/worksheet" Target="/xl/worksheets/sheet4.xml" Id="Refcf743471994c8b" /><Relationship Type="http://schemas.openxmlformats.org/officeDocument/2006/relationships/worksheet" Target="/xl/worksheets/sheet5.xml" Id="R8531518802784b08" /><Relationship Type="http://schemas.openxmlformats.org/officeDocument/2006/relationships/worksheet" Target="/xl/worksheets/sheet6.xml" Id="R492d7c2b0b5746e1" /><Relationship Type="http://schemas.openxmlformats.org/officeDocument/2006/relationships/worksheet" Target="/xl/worksheets/sheet7.xml" Id="R249ff04af2034978" /><Relationship Type="http://schemas.openxmlformats.org/officeDocument/2006/relationships/worksheet" Target="/xl/worksheets/sheet8.xml" Id="R0d83f39782094fa1" /><Relationship Type="http://schemas.microsoft.com/office/2017/10/relationships/person" Target="/xl/persons/person.xml" Id="R92d39d5fdb6646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a0cf2e6ceb148e9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20</xdr:row>
      <xdr:rowOff>0</xdr:rowOff>
    </xdr:from>
    <xdr:ext cx="8572500" cy="5467350"/>
    <xdr:pic>
      <xdr:nvPicPr>
        <xdr:cNvPr id="1" name="4e01a353-2cb6-4265-b46d-0cbfa01a4e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0cf2e6ceb148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User" id="{CD3F7F34-2BDC-4182-82F2-71E214C86D4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5" dT="2026-09-03T13:45:36.785" personId="{CD3F7F34-2BDC-4182-82F2-71E214C86D42}" id="{77CB63B4-B0AD-4503-92C8-0858B003DB17}">
    <xltc:text>Источник: единица измерения. Константа Проверка: 2026-09-03.</xltc:text>
  </xltc:threadedComment>
  <xltc:threadedComment ref="D5" dT="2026-09-03T13:45:36.788" personId="{CD3F7F34-2BDC-4182-82F2-71E214C86D42}" id="{9D3A1504-E21B-4FD6-828E-EF4DAD44D06D}">
    <xltc:text>Источник: единица измерения. Константа Проверка: 2026-09-03.</xltc:text>
  </xltc:threadedComment>
  <xltc:threadedComment ref="E5" dT="2026-09-03T13:45:36.788" personId="{CD3F7F34-2BDC-4182-82F2-71E214C86D42}" id="{1BE919B3-317E-4DFD-8758-A271917DBAE7}">
    <xltc:text>Источник: единица измерения. Константа Проверка: 2026-09-03.</xltc:text>
  </xltc:threadedComment>
  <xltc:threadedComment ref="C6" dT="2026-09-03T13:45:36.789" personId="{CD3F7F34-2BDC-4182-82F2-71E214C86D42}" id="{08A05115-FF11-4C87-95ED-A83E45378FAC}">
    <xltc:text>Источник: единица измерения. Константа Проверка: 2026-09-03.</xltc:text>
  </xltc:threadedComment>
  <xltc:threadedComment ref="D6" dT="2026-09-03T13:45:36.789" personId="{CD3F7F34-2BDC-4182-82F2-71E214C86D42}" id="{98F24B13-564E-4372-91D8-3E2465AEDDB0}">
    <xltc:text>Источник: единица измерения. Константа Проверка: 2026-09-03.</xltc:text>
  </xltc:threadedComment>
  <xltc:threadedComment ref="E6" dT="2026-09-03T13:45:36.789" personId="{CD3F7F34-2BDC-4182-82F2-71E214C86D42}" id="{142E4602-9A2A-477D-AAD5-DF9E287D15A8}">
    <xltc:text>Источник: единица измерения. Константа Проверка: 2026-09-03.</xltc:text>
  </xltc:threadedComment>
  <xltc:threadedComment ref="C7" dT="2026-09-03T13:45:36.789" personId="{CD3F7F34-2BDC-4182-82F2-71E214C86D42}" id="{D56C1353-ABAC-444B-B17B-2E35CE2507D0}">
    <xltc:text>Источник: единица измерения. Константа Проверка: 2026-09-03.</xltc:text>
  </xltc:threadedComment>
  <xltc:threadedComment ref="D7" dT="2026-09-03T13:45:36.789" personId="{CD3F7F34-2BDC-4182-82F2-71E214C86D42}" id="{8E3E053B-BE50-4CAB-B1D0-1B0CC8AFC5F9}">
    <xltc:text>Источник: единица измерения. Константа Проверка: 2026-09-03.</xltc:text>
  </xltc:threadedComment>
  <xltc:threadedComment ref="E7" dT="2026-09-03T13:45:36.789" personId="{CD3F7F34-2BDC-4182-82F2-71E214C86D42}" id="{8A368761-732C-4CED-806A-149CAB535265}">
    <xltc:text>Источник: единица измерения. Константа Проверка: 2026-09-03.</xltc:text>
  </xltc:threadedComment>
  <xltc:threadedComment ref="C8" dT="2026-09-03T13:45:36.79" personId="{CD3F7F34-2BDC-4182-82F2-71E214C86D42}" id="{36808CC3-555E-4A64-A080-72CC2286C77E}">
    <xltc:text>Источник: Встроен ниже на этом листе. Скрин: цена именно пакета из 4 мест. Проверка: 2026-09-03.</xltc:text>
  </xltc:threadedComment>
  <xltc:threadedComment ref="D8" dT="2026-09-03T13:45:36.79" personId="{CD3F7F34-2BDC-4182-82F2-71E214C86D42}" id="{E7FC7DE5-17A5-49EA-A9A9-48E8BA595105}">
    <xltc:text>Источник: Встроен ниже на этом листе. Скрин: цена именно пакета из 4 мест. Проверка: 2026-09-03.</xltc:text>
  </xltc:threadedComment>
  <xltc:threadedComment ref="E8" dT="2026-09-03T13:45:36.79" personId="{CD3F7F34-2BDC-4182-82F2-71E214C86D42}" id="{BE4D1557-9FEC-43FD-B544-3CDDD9E3D511}">
    <xltc:text>Источник: Встроен ниже на этом листе. Скрин: цена именно пакета из 4 мест. Проверка: 2026-09-03.</xltc:text>
  </xltc:threadedComment>
  <xltc:threadedComment ref="C9" dT="2026-09-03T13:45:36.79" personId="{CD3F7F34-2BDC-4182-82F2-71E214C86D42}" id="{5D500F96-7364-452F-BE74-30DB01332211}">
    <xltc:text>Источник: Встроен ниже на этом листе. Не экстраполировать линейно на 5–1000 мест. Проверка: 2026-09-03.</xltc:text>
  </xltc:threadedComment>
  <xltc:threadedComment ref="D9" dT="2026-09-03T13:45:36.79" personId="{CD3F7F34-2BDC-4182-82F2-71E214C86D42}" id="{B94B8311-E991-4B84-ACFB-72FF8C6B49B8}">
    <xltc:text>Источник: Встроен ниже на этом листе. Не экстраполировать линейно на 5–1000 мест. Проверка: 2026-09-03.</xltc:text>
  </xltc:threadedComment>
  <xltc:threadedComment ref="E9" dT="2026-09-03T13:45:36.79" personId="{CD3F7F34-2BDC-4182-82F2-71E214C86D42}" id="{8B5BAB86-0722-4AAB-89DE-1A15BE5C5BD5}">
    <xltc:text>Источник: Встроен ниже на этом листе. Не экстраполировать линейно на 5–1000 мест. Проверка: 2026-09-03.</xltc:text>
  </xltc:threadedComment>
  <xltc:threadedComment ref="C10" dT="2026-09-03T13:45:36.79" personId="{CD3F7F34-2BDC-4182-82F2-71E214C86D42}" id="{2CACE19F-1341-45C1-BE34-771B804EF949}">
    <xltc:text>Источник: рабочая гипотеза, фактические данные отсутствуют. H: 0 — технический placeholder, НЕ утверждение об освобождении. Проверка: 2026-09-03.</xltc:text>
  </xltc:threadedComment>
  <xltc:threadedComment ref="D10" dT="2026-09-03T13:45:36.79" personId="{CD3F7F34-2BDC-4182-82F2-71E214C86D42}" id="{DA407E6C-F3BD-480F-9945-DA747284C258}">
    <xltc:text>Источник: рабочая гипотеза, фактические данные отсутствуют. H: 0 — технический placeholder, НЕ утверждение об освобождении. Проверка: 2026-09-03.</xltc:text>
  </xltc:threadedComment>
  <xltc:threadedComment ref="E10" dT="2026-09-03T13:45:36.79" personId="{CD3F7F34-2BDC-4182-82F2-71E214C86D42}" id="{5C114F1B-3601-4ADB-84C9-7FD90D2DA8B0}">
    <xltc:text>Источник: рабочая гипотеза, фактические данные отсутствуют. H: 0 — технический placeholder, НЕ утверждение об освобождении. Проверка: 2026-09-03.</xltc:text>
  </xltc:threadedComment>
  <xltc:threadedComment ref="C11" dT="2026-09-03T13:45:36.791" personId="{CD3F7F34-2BDC-4182-82F2-71E214C86D42}" id="{A48E4C78-47DF-4431-8E20-B624B9A349B2}">
    <xltc:text>Источник: рабочая гипотеза, фактические данные отсутствуют. H: после базового обслуживания и комиссий; только для bundle. Проверка: 2026-09-03.</xltc:text>
  </xltc:threadedComment>
  <xltc:threadedComment ref="D11" dT="2026-09-03T13:45:36.791" personId="{CD3F7F34-2BDC-4182-82F2-71E214C86D42}" id="{B28C098E-E1AD-4D67-BDF8-4BDB37CD8137}">
    <xltc:text>Источник: рабочая гипотеза, фактические данные отсутствуют. H: после базового обслуживания и комиссий; только для bundle. Проверка: 2026-09-03.</xltc:text>
  </xltc:threadedComment>
  <xltc:threadedComment ref="E11" dT="2026-09-03T13:45:36.791" personId="{CD3F7F34-2BDC-4182-82F2-71E214C86D42}" id="{C3910218-4775-4346-BACD-C67B9447288F}">
    <xltc:text>Источник: рабочая гипотеза, фактические данные отсутствуют. H: после базового обслуживания и комиссий; только для bundle. Проверка: 2026-09-03.</xltc:text>
  </xltc:threadedComment>
  <xltc:threadedComment ref="C12" dT="2026-09-03T13:45:36.791" personId="{CD3F7F34-2BDC-4182-82F2-71E214C86D42}" id="{7FA12202-A039-4C15-9F99-84E5684F4984}">
    <xltc:text>Источник: рабочая гипотеза, фактические данные отсутствуют. H: внутренний порог для эксперимента, не отраслевой норматив. Проверка: 2026-09-03.</xltc:text>
  </xltc:threadedComment>
  <xltc:threadedComment ref="D12" dT="2026-09-03T13:45:36.791" personId="{CD3F7F34-2BDC-4182-82F2-71E214C86D42}" id="{8C9DAFD0-D41C-4E67-8CB7-AD6F5D210200}">
    <xltc:text>Источник: рабочая гипотеза, фактические данные отсутствуют. H: внутренний порог для эксперимента, не отраслевой норматив. Проверка: 2026-09-03.</xltc:text>
  </xltc:threadedComment>
  <xltc:threadedComment ref="E12" dT="2026-09-03T13:45:36.791" personId="{CD3F7F34-2BDC-4182-82F2-71E214C86D42}" id="{88D51E42-CB62-451F-BD33-4F7647A16821}">
    <xltc:text>Источник: рабочая гипотеза, фактические данные отсутствуют. H: внутренний порог для эксперимента, не отраслевой норматив. Проверка: 2026-09-03.</xltc:text>
  </xltc:threadedComment>
  <xltc:threadedComment ref="C13" dT="2026-09-03T13:45:36.791" personId="{CD3F7F34-2BDC-4182-82F2-71E214C86D42}" id="{0AD9CD48-663A-4D41-A979-0AE2DBDE95FB}">
    <xltc:text>Источник: рабочая гипотеза, фактические данные отсутствуют. H: ограниченный горизонт, не бесконечная жизнь клиента. Проверка: 2026-09-03.</xltc:text>
  </xltc:threadedComment>
  <xltc:threadedComment ref="D13" dT="2026-09-03T13:45:36.791" personId="{CD3F7F34-2BDC-4182-82F2-71E214C86D42}" id="{500F2EFE-D792-4768-A1E0-E9ACA94E661B}">
    <xltc:text>Источник: рабочая гипотеза, фактические данные отсутствуют. H: ограниченный горизонт, не бесконечная жизнь клиента. Проверка: 2026-09-03.</xltc:text>
  </xltc:threadedComment>
  <xltc:threadedComment ref="E13" dT="2026-09-03T13:45:36.791" personId="{CD3F7F34-2BDC-4182-82F2-71E214C86D42}" id="{7D403310-8772-4FEC-A392-8337C3DCB7DF}">
    <xltc:text>Источник: рабочая гипотеза, фактические данные отсутствуют. H: ограниченный горизонт, не бесконечная жизнь клиента. Проверка: 2026-09-03.</xltc:text>
  </xltc:threadedComment>
  <xltc:threadedComment ref="C16" dT="2026-09-03T13:45:36.792" personId="{CD3F7F34-2BDC-4182-82F2-71E214C86D42}" id="{AAD2EC2E-89A7-4068-9F4F-2F64EF6B93B2}">
    <xltc:text>Источник: data/raw/case-brief.txt. Модельный поток кейса; не средняя нагрузка MWS. Проверка: 2026-09-03.</xltc:text>
  </xltc:threadedComment>
  <xltc:threadedComment ref="D16" dT="2026-09-03T13:45:36.792" personId="{CD3F7F34-2BDC-4182-82F2-71E214C86D42}" id="{D28A0FFF-D0C0-4046-83EA-58C431DA0A14}">
    <xltc:text>Источник: data/raw/case-brief.txt. Модельный поток кейса; не средняя нагрузка MWS. Проверка: 2026-09-03.</xltc:text>
  </xltc:threadedComment>
  <xltc:threadedComment ref="E16" dT="2026-09-03T13:45:36.792" personId="{CD3F7F34-2BDC-4182-82F2-71E214C86D42}" id="{C487B467-0F38-4A81-83B0-F1A0E69CCFC2}">
    <xltc:text>Источник: data/raw/case-brief.txt. Модельный поток кейса; не средняя нагрузка MWS. Проверка: 2026-09-03.</xltc:text>
  </xltc:threadedComment>
  <xltc:threadedComment ref="C17" dT="2026-09-03T13:45:36.792" personId="{CD3F7F34-2BDC-4182-82F2-71E214C86D42}" id="{29070966-2C6B-4C7D-B5B5-444860F7390B}">
    <xltc:text>Источник: data/raw/case-brief.txt. Модельная исходная трудоёмкость. Проверка: 2026-09-03.</xltc:text>
  </xltc:threadedComment>
  <xltc:threadedComment ref="D17" dT="2026-09-03T13:45:36.792" personId="{CD3F7F34-2BDC-4182-82F2-71E214C86D42}" id="{83838CD0-B559-4F67-89E6-A712ED114F46}">
    <xltc:text>Источник: data/raw/case-brief.txt. Модельная исходная трудоёмкость. Проверка: 2026-09-03.</xltc:text>
  </xltc:threadedComment>
  <xltc:threadedComment ref="E17" dT="2026-09-03T13:45:36.792" personId="{CD3F7F34-2BDC-4182-82F2-71E214C86D42}" id="{1A3B93B7-A0B6-4E61-964C-5C70F18FFB50}">
    <xltc:text>Источник: data/raw/case-brief.txt. Модельная исходная трудоёмкость. Проверка: 2026-09-03.</xltc:text>
  </xltc:threadedComment>
  <xltc:threadedComment ref="C18" dT="2026-09-03T13:45:36.793" personId="{CD3F7F34-2BDC-4182-82F2-71E214C86D42}" id="{B4882EAF-FFCC-4C8F-82EE-F8EFEB44C1ED}">
    <xltc:text>Источник: data/raw/case-brief.txt. Модель кейса; не зарплата сотрудника. Проверка: 2026-09-03.</xltc:text>
  </xltc:threadedComment>
  <xltc:threadedComment ref="D18" dT="2026-09-03T13:45:36.793" personId="{CD3F7F34-2BDC-4182-82F2-71E214C86D42}" id="{9A52F480-38F1-4709-B2F1-9EF88A6B09BB}">
    <xltc:text>Источник: data/raw/case-brief.txt. Модель кейса; не зарплата сотрудника. Проверка: 2026-09-03.</xltc:text>
  </xltc:threadedComment>
  <xltc:threadedComment ref="E18" dT="2026-09-03T13:45:36.793" personId="{CD3F7F34-2BDC-4182-82F2-71E214C86D42}" id="{BEECE689-32A8-4CE2-94CA-0B1FA8113AE0}">
    <xltc:text>Источник: data/raw/case-brief.txt. Модель кейса; не зарплата сотрудника. Проверка: 2026-09-03.</xltc:text>
  </xltc:threadedComment>
  <xltc:threadedComment ref="C19" dT="2026-09-03T13:45:36.793" personId="{CD3F7F34-2BDC-4182-82F2-71E214C86D42}" id="{14C339BC-3F31-4F99-BE5A-3E3C6AFD12BA}">
    <xltc:text>Источник: рабочая гипотеза, фактические данные отсутствуют. H: остаток потока по-прежнему обрабатывается вручную. Проверка: 2026-09-03.</xltc:text>
  </xltc:threadedComment>
  <xltc:threadedComment ref="D19" dT="2026-09-03T13:45:36.793" personId="{CD3F7F34-2BDC-4182-82F2-71E214C86D42}" id="{B4FCA29A-171D-4014-A5E0-72DF5D3751F6}">
    <xltc:text>Источник: рабочая гипотеза, фактические данные отсутствуют. H: остаток потока по-прежнему обрабатывается вручную. Проверка: 2026-09-03.</xltc:text>
  </xltc:threadedComment>
  <xltc:threadedComment ref="E19" dT="2026-09-03T13:45:36.793" personId="{CD3F7F34-2BDC-4182-82F2-71E214C86D42}" id="{CE843C4F-284F-4DE9-B5EF-C0928798EA75}">
    <xltc:text>Источник: рабочая гипотеза, фактические данные отсутствуют. H: остаток потока по-прежнему обрабатывается вручную. Проверка: 2026-09-03.</xltc:text>
  </xltc:threadedComment>
  <xltc:threadedComment ref="C20" dT="2026-09-03T13:45:36.793" personId="{CD3F7F34-2BDC-4182-82F2-71E214C86D42}" id="{DCEE2A00-4E82-4BF8-A6DB-172970044BB6}">
    <xltc:text>Источник: рабочая гипотеза, фактические данные отсутствуют. H: 70% — цель кейса, а не достигнутый результат. Проверка: 2026-09-03.</xltc:text>
  </xltc:threadedComment>
  <xltc:threadedComment ref="D20" dT="2026-09-03T13:45:36.793" personId="{CD3F7F34-2BDC-4182-82F2-71E214C86D42}" id="{73B33126-8FB5-4D4E-9A18-9DB04B39B1E3}">
    <xltc:text>Источник: рабочая гипотеза, фактические данные отсутствуют. H: 70% — цель кейса, а не достигнутый результат. Проверка: 2026-09-03.</xltc:text>
  </xltc:threadedComment>
  <xltc:threadedComment ref="E20" dT="2026-09-03T13:45:36.793" personId="{CD3F7F34-2BDC-4182-82F2-71E214C86D42}" id="{DC0865CF-92D5-4FE8-B17F-A913E0A070FA}">
    <xltc:text>Источник: рабочая гипотеза, фактические данные отсутствуют. H: 70% — цель кейса, а не достигнутый результат. Проверка: 2026-09-03.</xltc:text>
  </xltc:threadedComment>
  <xltc:threadedComment ref="C21" dT="2026-09-03T13:45:36.793" personId="{CD3F7F34-2BDC-4182-82F2-71E214C86D42}" id="{742118A2-F41F-45C0-B935-AC6634F990C3}">
    <xltc:text>Источник: рабочая гипотеза, фактические данные отсутствуют. H: включая preview/подтверждение; НЕ медиана. Проверка: 2026-09-03.</xltc:text>
  </xltc:threadedComment>
  <xltc:threadedComment ref="D21" dT="2026-09-03T13:45:36.793" personId="{CD3F7F34-2BDC-4182-82F2-71E214C86D42}" id="{7E6DB39E-20BC-417B-9841-1252C00E0206}">
    <xltc:text>Источник: рабочая гипотеза, фактические данные отсутствуют. H: включая preview/подтверждение; НЕ медиана. Проверка: 2026-09-03.</xltc:text>
  </xltc:threadedComment>
  <xltc:threadedComment ref="E21" dT="2026-09-03T13:45:36.793" personId="{CD3F7F34-2BDC-4182-82F2-71E214C86D42}" id="{AA000B38-5702-4234-9510-7D1A45D3BA7A}">
    <xltc:text>Источник: рабочая гипотеза, фактические данные отсутствуют. H: включая preview/подтверждение; НЕ медиана. Проверка: 2026-09-03.</xltc:text>
  </xltc:threadedComment>
  <xltc:threadedComment ref="C22" dT="2026-09-03T13:45:36.794" personId="{CD3F7F34-2BDC-4182-82F2-71E214C86D42}" id="{A1471B35-D68F-4D20-AD02-85CD338DB83F}">
    <xltc:text>Источник: рабочая гипотеза, фактические данные отсутствуют. H: полный труд с доработками, включая неудачные попытки. Проверка: 2026-09-03.</xltc:text>
  </xltc:threadedComment>
  <xltc:threadedComment ref="D22" dT="2026-09-03T13:45:36.794" personId="{CD3F7F34-2BDC-4182-82F2-71E214C86D42}" id="{DB735B8A-6CE0-467B-BED8-588161D240F4}">
    <xltc:text>Источник: рабочая гипотеза, фактические данные отсутствуют. H: полный труд с доработками, включая неудачные попытки. Проверка: 2026-09-03.</xltc:text>
  </xltc:threadedComment>
  <xltc:threadedComment ref="E22" dT="2026-09-03T13:45:36.794" personId="{CD3F7F34-2BDC-4182-82F2-71E214C86D42}" id="{2653F8A2-23D5-4D68-AC5D-2B888B53457E}">
    <xltc:text>Источник: рабочая гипотеза, фактические данные отсутствуют. H: полный труд с доработками, включая неудачные попытки. Проверка: 2026-09-03.</xltc:text>
  </xltc:threadedComment>
  <xltc:threadedComment ref="C23" dT="2026-09-03T13:45:36.794" personId="{CD3F7F34-2BDC-4182-82F2-71E214C86D42}" id="{5C063EE6-A26D-46F8-AA35-FEC0F752E561}">
    <xltc:text>Источник: рабочая гипотеза, фактические данные отсутствуют. H: реально избегаемый найм, сверхурочные, подряд; не вся ёмкость. Проверка: 2026-09-03.</xltc:text>
  </xltc:threadedComment>
  <xltc:threadedComment ref="D23" dT="2026-09-03T13:45:36.794" personId="{CD3F7F34-2BDC-4182-82F2-71E214C86D42}" id="{43ED3190-3D08-40C4-824C-AC71914B4603}">
    <xltc:text>Источник: рабочая гипотеза, фактические данные отсутствуют. H: реально избегаемый найм, сверхурочные, подряд; не вся ёмкость. Проверка: 2026-09-03.</xltc:text>
  </xltc:threadedComment>
  <xltc:threadedComment ref="E23" dT="2026-09-03T13:45:36.794" personId="{CD3F7F34-2BDC-4182-82F2-71E214C86D42}" id="{0BC2FAFC-BAAB-4E84-AE61-75C2D9C810F5}">
    <xltc:text>Источник: рабочая гипотеза, фактические данные отсутствуют. H: реально избегаемый найм, сверхурочные, подряд; не вся ёмкость. Проверка: 2026-09-03.</xltc:text>
  </xltc:threadedComment>
  <xltc:threadedComment ref="C24" dT="2026-09-03T13:45:36.794" personId="{CD3F7F34-2BDC-4182-82F2-71E214C86D42}" id="{7754BFE8-6994-445D-BFDB-C9ED91AB4405}">
    <xltc:text>Источник: рабочая гипотеза, фактические данные отсутствуют. H: 0 = уже платит. Поставьте 1 для перехода с Freemium. Проверка: 2026-09-03.</xltc:text>
  </xltc:threadedComment>
  <xltc:threadedComment ref="D24" dT="2026-09-03T13:45:36.794" personId="{CD3F7F34-2BDC-4182-82F2-71E214C86D42}" id="{756FDFAB-68DF-4F1D-A632-651DA92E452F}">
    <xltc:text>Источник: рабочая гипотеза, фактические данные отсутствуют. H: 0 = уже платит. Поставьте 1 для перехода с Freemium. Проверка: 2026-09-03.</xltc:text>
  </xltc:threadedComment>
  <xltc:threadedComment ref="E24" dT="2026-09-03T13:45:36.794" personId="{CD3F7F34-2BDC-4182-82F2-71E214C86D42}" id="{D1C8C91F-7119-47F8-A0AA-FF7D813216D6}">
    <xltc:text>Источник: рабочая гипотеза, фактические данные отсутствуют. H: 0 = уже платит. Поставьте 1 для перехода с Freemium. Проверка: 2026-09-03.</xltc:text>
  </xltc:threadedComment>
  <xltc:threadedComment ref="C25" dT="2026-09-03T13:45:36.795" personId="{CD3F7F34-2BDC-4182-82F2-71E214C86D42}" id="{3EC1A71E-040B-41D5-BB0A-18941C0FBD8C}">
    <xltc:text>Источник: рабочая гипотеза, фактические данные отсутствуют. H: настройка таблиц, правил и обучение. Проверка: 2026-09-03.</xltc:text>
  </xltc:threadedComment>
  <xltc:threadedComment ref="D25" dT="2026-09-03T13:45:36.795" personId="{CD3F7F34-2BDC-4182-82F2-71E214C86D42}" id="{9C04A41F-5467-4252-8781-DD508F195604}">
    <xltc:text>Источник: рабочая гипотеза, фактические данные отсутствуют. H: настройка таблиц, правил и обучение. Проверка: 2026-09-03.</xltc:text>
  </xltc:threadedComment>
  <xltc:threadedComment ref="E25" dT="2026-09-03T13:45:36.795" personId="{CD3F7F34-2BDC-4182-82F2-71E214C86D42}" id="{4813AE51-BDD3-420B-8B0A-FB15A505F6CB}">
    <xltc:text>Источник: рабочая гипотеза, фактические данные отсутствуют. H: настройка таблиц, правил и обучение. Проверка: 2026-09-03.</xltc:text>
  </xltc:threadedComment>
  <xltc:threadedComment ref="C26" dT="2026-09-03T13:45:36.795" personId="{CD3F7F34-2BDC-4182-82F2-71E214C86D42}" id="{9112CE88-24B1-4F0D-A8DD-71177389107C}">
    <xltc:text>Источник: рабочая гипотеза, фактические данные отсутствуют. H: отдельные часы, не включённые во время заявки. Проверка: 2026-09-03.</xltc:text>
  </xltc:threadedComment>
  <xltc:threadedComment ref="D26" dT="2026-09-03T13:45:36.795" personId="{CD3F7F34-2BDC-4182-82F2-71E214C86D42}" id="{E5A8EF3A-68BC-4314-A641-FF9D6D5C0841}">
    <xltc:text>Источник: рабочая гипотеза, фактические данные отсутствуют. H: отдельные часы, не включённые во время заявки. Проверка: 2026-09-03.</xltc:text>
  </xltc:threadedComment>
  <xltc:threadedComment ref="E26" dT="2026-09-03T13:45:36.795" personId="{CD3F7F34-2BDC-4182-82F2-71E214C86D42}" id="{689087AF-34A1-4759-A406-3EC89B1C225A}">
    <xltc:text>Источник: рабочая гипотеза, фактические данные отсутствуют. H: отдельные часы, не включённые во время заявки. Проверка: 2026-09-03.</xltc:text>
  </xltc:threadedComment>
  <xltc:threadedComment ref="C29" dT="2026-09-03T13:45:36.795" personId="{CD3F7F34-2BDC-4182-82F2-71E214C86D42}" id="{CA289BC0-A8A6-4845-A18D-918C8AF811FB}">
    <xltc:text>Источник: рабочая гипотеза, фактические данные отсутствуют. H: 0 отключает только LLM-затраты. Время без LLM задайте заново. Проверка: 2026-09-03.</xltc:text>
  </xltc:threadedComment>
  <xltc:threadedComment ref="D29" dT="2026-09-03T13:45:36.795" personId="{CD3F7F34-2BDC-4182-82F2-71E214C86D42}" id="{7ADFD36E-DD60-4139-82E7-D08825E99D93}">
    <xltc:text>Источник: рабочая гипотеза, фактические данные отсутствуют. H: 0 отключает только LLM-затраты. Время без LLM задайте заново. Проверка: 2026-09-03.</xltc:text>
  </xltc:threadedComment>
  <xltc:threadedComment ref="E29" dT="2026-09-03T13:45:36.795" personId="{CD3F7F34-2BDC-4182-82F2-71E214C86D42}" id="{325A75BD-E0C4-411A-AD3F-3DD0C1128726}">
    <xltc:text>Источник: рабочая гипотеза, фактические данные отсутствуют. H: 0 отключает только LLM-затраты. Время без LLM задайте заново. Проверка: 2026-09-03.</xltc:text>
  </xltc:threadedComment>
  <xltc:threadedComment ref="C30" dT="2026-09-03T13:45:36.795" personId="{CD3F7F34-2BDC-4182-82F2-71E214C86D42}" id="{01D616EB-FD5D-4848-AA84-3DE013AC3FC7}">
    <xltc:text>Источник: рабочая гипотеза, фактические данные отсутствуют. H: только неоднозначные случаи, а не весь поток. Проверка: 2026-09-03.</xltc:text>
  </xltc:threadedComment>
  <xltc:threadedComment ref="D30" dT="2026-09-03T13:45:36.795" personId="{CD3F7F34-2BDC-4182-82F2-71E214C86D42}" id="{0BD3DFFD-004E-4611-8B0D-0C0DACD59014}">
    <xltc:text>Источник: рабочая гипотеза, фактические данные отсутствуют. H: только неоднозначные случаи, а не весь поток. Проверка: 2026-09-03.</xltc:text>
  </xltc:threadedComment>
  <xltc:threadedComment ref="E30" dT="2026-09-03T13:45:36.795" personId="{CD3F7F34-2BDC-4182-82F2-71E214C86D42}" id="{D4178813-C0F6-44B3-93C5-7305D441ED96}">
    <xltc:text>Источник: рабочая гипотеза, фактические данные отсутствуют. H: только неоднозначные случаи, а не весь поток. Проверка: 2026-09-03.</xltc:text>
  </xltc:threadedComment>
  <xltc:threadedComment ref="C31" dT="2026-09-03T13:45:36.795" personId="{CD3F7F34-2BDC-4182-82F2-71E214C86D42}" id="{A0805FB7-AD0C-4E7D-9A1A-05B4B6D4FF60}">
    <xltc:text>Источник: рабочая гипотеза, фактические данные отсутствуют. H: измерить вместе с инструкциями и справочным контекстом. Проверка: 2026-09-03.</xltc:text>
  </xltc:threadedComment>
  <xltc:threadedComment ref="D31" dT="2026-09-03T13:45:36.796" personId="{CD3F7F34-2BDC-4182-82F2-71E214C86D42}" id="{D3F4F5A1-E2AC-4171-927F-FE175AF67BE3}">
    <xltc:text>Источник: рабочая гипотеза, фактические данные отсутствуют. H: измерить вместе с инструкциями и справочным контекстом. Проверка: 2026-09-03.</xltc:text>
  </xltc:threadedComment>
  <xltc:threadedComment ref="E31" dT="2026-09-03T13:45:36.796" personId="{CD3F7F34-2BDC-4182-82F2-71E214C86D42}" id="{59B64B87-5751-4F22-9D82-63BBB10DBE07}">
    <xltc:text>Источник: рабочая гипотеза, фактические данные отсутствуют. H: измерить вместе с инструкциями и справочным контекстом. Проверка: 2026-09-03.</xltc:text>
  </xltc:threadedComment>
  <xltc:threadedComment ref="C32" dT="2026-09-03T13:45:36.796" personId="{CD3F7F34-2BDC-4182-82F2-71E214C86D42}" id="{8AF696EF-4002-4F78-81BC-717C30BC7784}">
    <xltc:text>Источник: рабочая гипотеза, фактические данные отсутствуют. H: измерить, включая оплачиваемые скрытые токены, если есть. Проверка: 2026-09-03.</xltc:text>
  </xltc:threadedComment>
  <xltc:threadedComment ref="D32" dT="2026-09-03T13:45:36.796" personId="{CD3F7F34-2BDC-4182-82F2-71E214C86D42}" id="{0384B6ED-3A3C-46AE-AF15-A8DDACDCDED2}">
    <xltc:text>Источник: рабочая гипотеза, фактические данные отсутствуют. H: измерить, включая оплачиваемые скрытые токены, если есть. Проверка: 2026-09-03.</xltc:text>
  </xltc:threadedComment>
  <xltc:threadedComment ref="E32" dT="2026-09-03T13:45:36.796" personId="{CD3F7F34-2BDC-4182-82F2-71E214C86D42}" id="{E7889E49-B959-4521-9CA8-FEC0F384A553}">
    <xltc:text>Источник: рабочая гипотеза, фактические данные отсутствуют. H: измерить, включая оплачиваемые скрытые токены, если есть. Проверка: 2026-09-03.</xltc:text>
  </xltc:threadedComment>
  <xltc:threadedComment ref="C33" dT="2026-09-03T13:45:36.796" personId="{CD3F7F34-2BDC-4182-82F2-71E214C86D42}" id="{EE364D29-17AE-426F-80C8-01F7CB6B193C}">
    <xltc:text>Источник: рабочая гипотеза, фактические данные отсутствуют. H: НЕ тариф конкретного провайдера; заменить договорной ценой. Проверка: 2026-09-03.</xltc:text>
  </xltc:threadedComment>
  <xltc:threadedComment ref="D33" dT="2026-09-03T13:45:36.796" personId="{CD3F7F34-2BDC-4182-82F2-71E214C86D42}" id="{FFED92E9-5235-4506-86AA-CD4C549AA623}">
    <xltc:text>Источник: рабочая гипотеза, фактические данные отсутствуют. H: НЕ тариф конкретного провайдера; заменить договорной ценой. Проверка: 2026-09-03.</xltc:text>
  </xltc:threadedComment>
  <xltc:threadedComment ref="E33" dT="2026-09-03T13:45:36.796" personId="{CD3F7F34-2BDC-4182-82F2-71E214C86D42}" id="{D405F35D-DF24-45D1-A429-E736DDA7C204}">
    <xltc:text>Источник: рабочая гипотеза, фактические данные отсутствуют. H: НЕ тариф конкретного провайдера; заменить договорной ценой. Проверка: 2026-09-03.</xltc:text>
  </xltc:threadedComment>
  <xltc:threadedComment ref="C34" dT="2026-09-03T13:45:36.796" personId="{CD3F7F34-2BDC-4182-82F2-71E214C86D42}" id="{67B76FD5-84E9-42BE-AC8A-F253B3F45BA6}">
    <xltc:text>Источник: рабочая гипотеза, фактические данные отсутствуют. H: экономическая стоимость в RUB; не используется FX. Проверка: 2026-09-03.</xltc:text>
  </xltc:threadedComment>
  <xltc:threadedComment ref="D34" dT="2026-09-03T13:45:36.796" personId="{CD3F7F34-2BDC-4182-82F2-71E214C86D42}" id="{E89EC886-CC26-421E-86BE-ED20C4C39EC9}">
    <xltc:text>Источник: рабочая гипотеза, фактические данные отсутствуют. H: экономическая стоимость в RUB; не используется FX. Проверка: 2026-09-03.</xltc:text>
  </xltc:threadedComment>
  <xltc:threadedComment ref="E34" dT="2026-09-03T13:45:36.796" personId="{CD3F7F34-2BDC-4182-82F2-71E214C86D42}" id="{347861F4-AF64-4F46-8F1F-F893698D8950}">
    <xltc:text>Источник: рабочая гипотеза, фактические данные отсутствуют. H: экономическая стоимость в RUB; не используется FX. Проверка: 2026-09-03.</xltc:text>
  </xltc:threadedComment>
  <xltc:threadedComment ref="C35" dT="2026-09-03T13:45:36.796" personId="{CD3F7F34-2BDC-4182-82F2-71E214C86D42}" id="{2D86D108-4DA2-43CF-A7F9-5EE2AF649F38}">
    <xltc:text>Источник: рабочая гипотеза, фактические данные отсутствуют. H: полный множитель повторов/ошибок; не биллится клиенту повторно. Проверка: 2026-09-03.</xltc:text>
  </xltc:threadedComment>
  <xltc:threadedComment ref="D35" dT="2026-09-03T13:45:36.796" personId="{CD3F7F34-2BDC-4182-82F2-71E214C86D42}" id="{9C8F3F7F-99FA-44CF-AE17-E3FF54173033}">
    <xltc:text>Источник: рабочая гипотеза, фактические данные отсутствуют. H: полный множитель повторов/ошибок; не биллится клиенту повторно. Проверка: 2026-09-03.</xltc:text>
  </xltc:threadedComment>
  <xltc:threadedComment ref="E35" dT="2026-09-03T13:45:36.796" personId="{CD3F7F34-2BDC-4182-82F2-71E214C86D42}" id="{5928097C-E813-48D3-8C74-39B74E998D10}">
    <xltc:text>Источник: рабочая гипотеза, фактические данные отсутствуют. H: полный множитель повторов/ошибок; не биллится клиенту повторно. Проверка: 2026-09-03.</xltc:text>
  </xltc:threadedComment>
  <xltc:threadedComment ref="C36" dT="2026-09-03T13:45:36.797" personId="{CD3F7F34-2BDC-4182-82F2-71E214C86D42}" id="{7F191E15-0863-41C9-8664-58CFBB663F87}">
    <xltc:text>Источник: рабочая гипотеза, фактические данные отсутствуют. H: только дополнительный compute; исключить уже покрытую базу. Проверка: 2026-09-03.</xltc:text>
  </xltc:threadedComment>
  <xltc:threadedComment ref="D36" dT="2026-09-03T13:45:36.797" personId="{CD3F7F34-2BDC-4182-82F2-71E214C86D42}" id="{D4257DF7-26B2-4EDD-BCE8-57673AC12836}">
    <xltc:text>Источник: рабочая гипотеза, фактические данные отсутствуют. H: только дополнительный compute; исключить уже покрытую базу. Проверка: 2026-09-03.</xltc:text>
  </xltc:threadedComment>
  <xltc:threadedComment ref="E36" dT="2026-09-03T13:45:36.797" personId="{CD3F7F34-2BDC-4182-82F2-71E214C86D42}" id="{72232DEE-4519-4AD9-B1AB-E145226C998E}">
    <xltc:text>Источник: рабочая гипотеза, фактические данные отсутствуют. H: только дополнительный compute; исключить уже покрытую базу. Проверка: 2026-09-03.</xltc:text>
  </xltc:threadedComment>
  <xltc:threadedComment ref="C37" dT="2026-09-03T13:45:36.797" personId="{CD3F7F34-2BDC-4182-82F2-71E214C86D42}" id="{799E1C19-0FEA-4925-98DD-F2669440958A}">
    <xltc:text>Источник: рабочая гипотеза, фактические данные отсутствуют. H: среднее число инфраструктурных операций; НЕ единица оплаты. Проверка: 2026-09-03.</xltc:text>
  </xltc:threadedComment>
  <xltc:threadedComment ref="D37" dT="2026-09-03T13:45:36.797" personId="{CD3F7F34-2BDC-4182-82F2-71E214C86D42}" id="{1C9D7A83-AEA1-4D4C-89B9-8E2EAF28A26F}">
    <xltc:text>Источник: рабочая гипотеза, фактические данные отсутствуют. H: среднее число инфраструктурных операций; НЕ единица оплаты. Проверка: 2026-09-03.</xltc:text>
  </xltc:threadedComment>
  <xltc:threadedComment ref="E37" dT="2026-09-03T13:45:36.797" personId="{CD3F7F34-2BDC-4182-82F2-71E214C86D42}" id="{2D6DB20A-50E1-4AEC-97C3-1A051AB19BF0}">
    <xltc:text>Источник: рабочая гипотеза, фактические данные отсутствуют. H: среднее число инфраструктурных операций; НЕ единица оплаты. Проверка: 2026-09-03.</xltc:text>
  </xltc:threadedComment>
  <xltc:threadedComment ref="C38" dT="2026-09-03T13:45:36.797" personId="{CD3F7F34-2BDC-4182-82F2-71E214C86D42}" id="{8E543D0D-5AD1-430A-B346-B665EAC61BF6}">
    <xltc:text>Источник: рабочая гипотеза, фактические данные отсутствуют. H: дополнительный ресурс, не пользовательский тариф MWS. Проверка: 2026-09-03.</xltc:text>
  </xltc:threadedComment>
  <xltc:threadedComment ref="D38" dT="2026-09-03T13:45:36.797" personId="{CD3F7F34-2BDC-4182-82F2-71E214C86D42}" id="{CF018C42-3735-4FE5-AD4C-2837D67B97C7}">
    <xltc:text>Источник: рабочая гипотеза, фактические данные отсутствуют. H: дополнительный ресурс, не пользовательский тариф MWS. Проверка: 2026-09-03.</xltc:text>
  </xltc:threadedComment>
  <xltc:threadedComment ref="E38" dT="2026-09-03T13:45:36.797" personId="{CD3F7F34-2BDC-4182-82F2-71E214C86D42}" id="{DC819F9B-F52E-4B82-99C4-8A8C5A12702C}">
    <xltc:text>Источник: рабочая гипотеза, фактические данные отсутствуют. H: дополнительный ресурс, не пользовательский тариф MWS. Проверка: 2026-09-03.</xltc:text>
  </xltc:threadedComment>
  <xltc:threadedComment ref="C39" dT="2026-09-03T13:45:36.798" personId="{CD3F7F34-2BDC-4182-82F2-71E214C86D42}" id="{673A38E3-F772-41D4-80B6-F0E513D9D4EA}">
    <xltc:text>Источник: рабочая гипотеза, фактические данные отсутствуют. H: сумма по пространствам одного договора; зависит от retention. Проверка: 2026-09-03.</xltc:text>
  </xltc:threadedComment>
  <xltc:threadedComment ref="D39" dT="2026-09-03T13:45:36.798" personId="{CD3F7F34-2BDC-4182-82F2-71E214C86D42}" id="{264990D7-70D8-47B6-927E-5D3B2B474A96}">
    <xltc:text>Источник: рабочая гипотеза, фактические данные отсутствуют. H: сумма по пространствам одного договора; зависит от retention. Проверка: 2026-09-03.</xltc:text>
  </xltc:threadedComment>
  <xltc:threadedComment ref="E39" dT="2026-09-03T13:45:36.798" personId="{CD3F7F34-2BDC-4182-82F2-71E214C86D42}" id="{ED68024F-A470-4FCD-9B7A-C4337350AAE3}">
    <xltc:text>Источник: рабочая гипотеза, фактические данные отсутствуют. H: сумма по пространствам одного договора; зависит от retention. Проверка: 2026-09-03.</xltc:text>
  </xltc:threadedComment>
  <xltc:threadedComment ref="C40" dT="2026-09-03T13:45:36.798" personId="{CD3F7F34-2BDC-4182-82F2-71E214C86D42}" id="{85E7BB21-501F-4141-862B-C9C5696FFAC8}">
    <xltc:text>Источник: рабочая гипотеза, фактические данные отсутствуют. H: только поддержка фичи, не базового MWS. Проверка: 2026-09-03.</xltc:text>
  </xltc:threadedComment>
  <xltc:threadedComment ref="D40" dT="2026-09-03T13:45:36.798" personId="{CD3F7F34-2BDC-4182-82F2-71E214C86D42}" id="{43782736-2564-4479-82D3-4E722F55CC49}">
    <xltc:text>Источник: рабочая гипотеза, фактические данные отсутствуют. H: только поддержка фичи, не базового MWS. Проверка: 2026-09-03.</xltc:text>
  </xltc:threadedComment>
  <xltc:threadedComment ref="E40" dT="2026-09-03T13:45:36.798" personId="{CD3F7F34-2BDC-4182-82F2-71E214C86D42}" id="{862B935C-6259-4D51-9376-E78DFEF71DF8}">
    <xltc:text>Источник: рабочая гипотеза, фактические данные отсутствуют. H: только поддержка фичи, не базового MWS. Проверка: 2026-09-03.</xltc:text>
  </xltc:threadedComment>
  <xltc:threadedComment ref="C41" dT="2026-09-03T13:45:36.798" personId="{CD3F7F34-2BDC-4182-82F2-71E214C86D42}" id="{34608C60-DB03-44DA-BD83-8E2ACDF70193}">
    <xltc:text>Источник: рабочая гипотеза, фактические данные отсутствуют. H: распределённые обращения; не ручной просмотр каждой заявки. Проверка: 2026-09-03.</xltc:text>
  </xltc:threadedComment>
  <xltc:threadedComment ref="D41" dT="2026-09-03T13:45:36.798" personId="{CD3F7F34-2BDC-4182-82F2-71E214C86D42}" id="{ED4FE4ED-6684-483F-B100-91B6A1530C16}">
    <xltc:text>Источник: рабочая гипотеза, фактические данные отсутствуют. H: распределённые обращения; не ручной просмотр каждой заявки. Проверка: 2026-09-03.</xltc:text>
  </xltc:threadedComment>
  <xltc:threadedComment ref="E41" dT="2026-09-03T13:45:36.798" personId="{CD3F7F34-2BDC-4182-82F2-71E214C86D42}" id="{CAED87B5-8455-4B98-8036-714246A6F777}">
    <xltc:text>Источник: рабочая гипотеза, фактические данные отсутствуют. H: распределённые обращения; не ручной просмотр каждой заявки. Проверка: 2026-09-03.</xltc:text>
  </xltc:threadedComment>
  <xltc:threadedComment ref="C42" dT="2026-09-03T13:45:36.798" personId="{CD3F7F34-2BDC-4182-82F2-71E214C86D42}" id="{08AE5757-AA4E-442E-844D-27AEFF2FC13A}">
    <xltc:text>Источник: рабочая гипотеза, фактические данные отсутствуют. H: экономическая стоимость сотрудника. Проверка: 2026-09-03.</xltc:text>
  </xltc:threadedComment>
  <xltc:threadedComment ref="D42" dT="2026-09-03T13:45:36.798" personId="{CD3F7F34-2BDC-4182-82F2-71E214C86D42}" id="{472C0916-EA37-497F-AD88-0E63CA751800}">
    <xltc:text>Источник: рабочая гипотеза, фактические данные отсутствуют. H: экономическая стоимость сотрудника. Проверка: 2026-09-03.</xltc:text>
  </xltc:threadedComment>
  <xltc:threadedComment ref="E42" dT="2026-09-03T13:45:36.798" personId="{CD3F7F34-2BDC-4182-82F2-71E214C86D42}" id="{99DB913F-BD16-43A1-A38B-848C9A27CE8D}">
    <xltc:text>Источник: рабочая гипотеза, фактические данные отсутствуют. H: экономическая стоимость сотрудника. Проверка: 2026-09-03.</xltc:text>
  </xltc:threadedComment>
  <xltc:threadedComment ref="C43" dT="2026-09-03T13:45:36.799" personId="{CD3F7F34-2BDC-4182-82F2-71E214C86D42}" id="{547747B9-B116-429A-B56D-48C863E311B7}">
    <xltc:text>Источник: рабочая гипотеза, фактические данные отсутствуют. H: с исходного чека, включая возвращённые платежи. Проверка: 2026-09-03.</xltc:text>
  </xltc:threadedComment>
  <xltc:threadedComment ref="D43" dT="2026-09-03T13:45:36.799" personId="{CD3F7F34-2BDC-4182-82F2-71E214C86D42}" id="{FF5A1EC3-6504-4769-8681-F8C1BBAAD64C}">
    <xltc:text>Источник: рабочая гипотеза, фактические данные отсутствуют. H: с исходного чека, включая возвращённые платежи. Проверка: 2026-09-03.</xltc:text>
  </xltc:threadedComment>
  <xltc:threadedComment ref="E43" dT="2026-09-03T13:45:36.799" personId="{CD3F7F34-2BDC-4182-82F2-71E214C86D42}" id="{2532298C-BCFC-42D1-A4B1-530D76F26B7B}">
    <xltc:text>Источник: рабочая гипотеза, фактические данные отсутствуют. H: с исходного чека, включая возвращённые платежи. Проверка: 2026-09-03.</xltc:text>
  </xltc:threadedComment>
  <xltc:threadedComment ref="C44" dT="2026-09-03T13:45:36.799" personId="{CD3F7F34-2BDC-4182-82F2-71E214C86D42}" id="{5B063FD7-FD5E-4772-91B9-B06DC49E665F}">
    <xltc:text>Источник: рабочая гипотеза, фактические данные отсутствуют. H: внутренние затраты инцидентов; не возврат выручки. Проверка: 2026-09-03.</xltc:text>
  </xltc:threadedComment>
  <xltc:threadedComment ref="D44" dT="2026-09-03T13:45:36.799" personId="{CD3F7F34-2BDC-4182-82F2-71E214C86D42}" id="{89B0A38D-7564-4804-826A-6673D4622B88}">
    <xltc:text>Источник: рабочая гипотеза, фактические данные отсутствуют. H: внутренние затраты инцидентов; не возврат выручки. Проверка: 2026-09-03.</xltc:text>
  </xltc:threadedComment>
  <xltc:threadedComment ref="E44" dT="2026-09-03T13:45:36.799" personId="{CD3F7F34-2BDC-4182-82F2-71E214C86D42}" id="{85104A77-4712-43D7-B34C-7F9B788F58A5}">
    <xltc:text>Источник: рабочая гипотеза, фактические данные отсутствуют. H: внутренние затраты инцидентов; не возврат выручки. Проверка: 2026-09-03.</xltc:text>
  </xltc:threadedComment>
  <xltc:threadedComment ref="C47" dT="2026-09-03T13:45:36.799" personId="{CD3F7F34-2BDC-4182-82F2-71E214C86D42}" id="{EBBE2C82-4E93-4DD6-B9DC-E5505B0F6423}">
    <xltc:text>Источник: рабочая гипотеза, фактические данные отсутствуют. H: тестовые цены; весь помощник, не только LLM. Проверка: 2026-09-03.</xltc:text>
  </xltc:threadedComment>
  <xltc:threadedComment ref="D47" dT="2026-09-03T13:45:36.799" personId="{CD3F7F34-2BDC-4182-82F2-71E214C86D42}" id="{78556A43-84E4-464B-8C69-1C21FA4656AD}">
    <xltc:text>Источник: рабочая гипотеза, фактические данные отсутствуют. H: тестовые цены; весь помощник, не только LLM. Проверка: 2026-09-03.</xltc:text>
  </xltc:threadedComment>
  <xltc:threadedComment ref="E47" dT="2026-09-03T13:45:36.799" personId="{CD3F7F34-2BDC-4182-82F2-71E214C86D42}" id="{11458601-51CE-47BD-8F13-913E84D6FB77}">
    <xltc:text>Источник: рабочая гипотеза, фактические данные отсутствуют. H: тестовые цены; весь помощник, не только LLM. Проверка: 2026-09-03.</xltc:text>
  </xltc:threadedComment>
  <xltc:threadedComment ref="C48" dT="2026-09-03T13:45:36.799" personId="{CD3F7F34-2BDC-4182-82F2-71E214C86D42}" id="{9C73D56B-6148-4F50-96F2-9D5DD4F08AEE}">
    <xltc:text>Источник: рабочая гипотеза, фактические данные отсутствуют. H: месячная квота; повторы той же версии не списываются. Проверка: 2026-09-03.</xltc:text>
  </xltc:threadedComment>
  <xltc:threadedComment ref="D48" dT="2026-09-03T13:45:36.799" personId="{CD3F7F34-2BDC-4182-82F2-71E214C86D42}" id="{B1009E03-FC53-43A2-A88A-A9723B682B3E}">
    <xltc:text>Источник: рабочая гипотеза, фактические данные отсутствуют. H: месячная квота; повторы той же версии не списываются. Проверка: 2026-09-03.</xltc:text>
  </xltc:threadedComment>
  <xltc:threadedComment ref="E48" dT="2026-09-03T13:45:36.799" personId="{CD3F7F34-2BDC-4182-82F2-71E214C86D42}" id="{AF974270-7B7E-42B2-A6EA-DBB263FE7086}">
    <xltc:text>Источник: рабочая гипотеза, фактические данные отсутствуют. H: месячная квота; повторы той же версии не списываются. Проверка: 2026-09-03.</xltc:text>
  </xltc:threadedComment>
  <xltc:threadedComment ref="C49" dT="2026-09-03T13:45:36.8" personId="{CD3F7F34-2BDC-4182-82F2-71E214C86D42}" id="{16AF22EC-4270-41BC-9F50-4742E2B93EA3}">
    <xltc:text>Источник: рабочая гипотеза, фактические данные отсутствуют. H: дополнительная уникальная подготовка; только по согласию. Проверка: 2026-09-03.</xltc:text>
  </xltc:threadedComment>
  <xltc:threadedComment ref="D49" dT="2026-09-03T13:45:36.8" personId="{CD3F7F34-2BDC-4182-82F2-71E214C86D42}" id="{55E3F93B-56E5-4F51-BE4A-7211F56578F6}">
    <xltc:text>Источник: рабочая гипотеза, фактические данные отсутствуют. H: дополнительная уникальная подготовка; только по согласию. Проверка: 2026-09-03.</xltc:text>
  </xltc:threadedComment>
  <xltc:threadedComment ref="E49" dT="2026-09-03T13:45:36.8" personId="{CD3F7F34-2BDC-4182-82F2-71E214C86D42}" id="{B3A6350F-AC9F-43C8-9CE5-F9A7AF9F0153}">
    <xltc:text>Источник: рабочая гипотеза, фактические данные отсутствуют. H: дополнительная уникальная подготовка; только по согласию. Проверка: 2026-09-03.</xltc:text>
  </xltc:threadedComment>
  <xltc:threadedComment ref="C50" dT="2026-09-03T13:45:36.8" personId="{CD3F7F34-2BDC-4182-82F2-71E214C86D42}" id="{0C56F654-52DC-4277-9212-F0B626B7D367}">
    <xltc:text>Источник: рабочая гипотеза, фактические данные отсутствуют. H: альтернатива без абонплаты, а не доплата к строке 47. Проверка: 2026-09-03.</xltc:text>
  </xltc:threadedComment>
  <xltc:threadedComment ref="D50" dT="2026-09-03T13:45:36.8" personId="{CD3F7F34-2BDC-4182-82F2-71E214C86D42}" id="{851C3E6A-90A7-4E08-8F89-6BD2285E60C7}">
    <xltc:text>Источник: рабочая гипотеза, фактические данные отсутствуют. H: альтернатива без абонплаты, а не доплата к строке 47. Проверка: 2026-09-03.</xltc:text>
  </xltc:threadedComment>
  <xltc:threadedComment ref="E50" dT="2026-09-03T13:45:36.8" personId="{CD3F7F34-2BDC-4182-82F2-71E214C86D42}" id="{105DA847-DB94-4814-B8C8-B1AD2E560208}">
    <xltc:text>Источник: рабочая гипотеза, фактические данные отсутствуют. H: альтернатива без абонплаты, а не доплата к строке 47. Проверка: 2026-09-03.</xltc:text>
  </xltc:threadedComment>
  <xltc:threadedComment ref="C51" dT="2026-09-03T13:45:36.8" personId="{CD3F7F34-2BDC-4182-82F2-71E214C86D42}" id="{05FF01EC-A858-4923-984C-D3EF8737821A}">
    <xltc:text>Источник: рабочая гипотеза, фактические данные отсутствуют. H: expansion CAC для текущего клиента, не полный CAC MWS. Проверка: 2026-09-03.</xltc:text>
  </xltc:threadedComment>
  <xltc:threadedComment ref="D51" dT="2026-09-03T13:45:36.8" personId="{CD3F7F34-2BDC-4182-82F2-71E214C86D42}" id="{BFFF5268-9E8E-4EBB-94E9-CEB1F80B9DB1}">
    <xltc:text>Источник: рабочая гипотеза, фактические данные отсутствуют. H: expansion CAC для текущего клиента, не полный CAC MWS. Проверка: 2026-09-03.</xltc:text>
  </xltc:threadedComment>
  <xltc:threadedComment ref="E51" dT="2026-09-03T13:45:36.8" personId="{CD3F7F34-2BDC-4182-82F2-71E214C86D42}" id="{A429E06E-526A-4825-B898-CF166B7897AF}">
    <xltc:text>Источник: рабочая гипотеза, фактические данные отсутствуют. H: expansion CAC для текущего клиента, не полный CAC MWS. Проверка: 2026-09-03.</xltc:text>
  </xltc:threadedComment>
  <xltc:threadedComment ref="C52" dT="2026-09-03T13:45:36.8" personId="{CD3F7F34-2BDC-4182-82F2-71E214C86D42}" id="{11F45EDD-AE52-4DF8-A452-26895E23840B}">
    <xltc:text>Источник: рабочая гипотеза, фактические данные отсутствуют. H: учитывается отдельно от CAC и текущей поддержки. Проверка: 2026-09-03.</xltc:text>
  </xltc:threadedComment>
  <xltc:threadedComment ref="D52" dT="2026-09-03T13:45:36.8" personId="{CD3F7F34-2BDC-4182-82F2-71E214C86D42}" id="{1EB6C891-6866-470A-9351-5F33D40191B9}">
    <xltc:text>Источник: рабочая гипотеза, фактические данные отсутствуют. H: учитывается отдельно от CAC и текущей поддержки. Проверка: 2026-09-03.</xltc:text>
  </xltc:threadedComment>
  <xltc:threadedComment ref="E52" dT="2026-09-03T13:45:36.8" personId="{CD3F7F34-2BDC-4182-82F2-71E214C86D42}" id="{0A893BC7-A476-4ED0-9C93-83BA09D57061}">
    <xltc:text>Источник: рабочая гипотеза, фактические данные отсутствуют. H: учитывается отдельно от CAC и текущей поддержки. Проверка: 2026-09-03.</xltc:text>
  </xltc:threadedComment>
  <xltc:threadedComment ref="C53" dT="2026-09-03T13:45:36.801" personId="{CD3F7F34-2BDC-4182-82F2-71E214C86D42}" id="{4744C145-33F4-4B0A-901F-752AEDBFF55C}">
    <xltc:text>Источник: рабочая гипотеза, фактические данные отсутствуют. H: месячная подписка модуля; НЕ churn годового Unlimit. Проверка: 2026-09-03.</xltc:text>
  </xltc:threadedComment>
  <xltc:threadedComment ref="D53" dT="2026-09-03T13:45:36.801" personId="{CD3F7F34-2BDC-4182-82F2-71E214C86D42}" id="{9CA6E1F0-3479-42AF-8CC1-8FF7DCC6A4F5}">
    <xltc:text>Источник: рабочая гипотеза, фактические данные отсутствуют. H: месячная подписка модуля; НЕ churn годового Unlimit. Проверка: 2026-09-03.</xltc:text>
  </xltc:threadedComment>
  <xltc:threadedComment ref="E53" dT="2026-09-03T13:45:36.801" personId="{CD3F7F34-2BDC-4182-82F2-71E214C86D42}" id="{7D61041F-5BBB-4FA4-9D5C-FB48F894CE24}">
    <xltc:text>Источник: рабочая гипотеза, фактические данные отсутствуют. H: месячная подписка модуля; НЕ churn годового Unlimit. Проверка: 2026-09-03.</xltc:text>
  </xltc:threadedComment>
  <xltc:threadedComment ref="C54" dT="2026-09-03T13:45:36.801" personId="{CD3F7F34-2BDC-4182-82F2-71E214C86D42}" id="{65E40D2E-934A-46FB-B3F7-A5F156EE73FF}">
    <xltc:text>Источник: рабочая гипотеза, фактические данные отсутствуют. H: сопровождение/QA/продукт; без поддержки из строк 40–42. Проверка: 2026-09-03.</xltc:text>
  </xltc:threadedComment>
  <xltc:threadedComment ref="D54" dT="2026-09-03T13:45:36.801" personId="{CD3F7F34-2BDC-4182-82F2-71E214C86D42}" id="{AB0C54EF-35C1-43A3-A73B-E75F0D58DCAB}">
    <xltc:text>Источник: рабочая гипотеза, фактические данные отсутствуют. H: сопровождение/QA/продукт; без поддержки из строк 40–42. Проверка: 2026-09-03.</xltc:text>
  </xltc:threadedComment>
  <xltc:threadedComment ref="E54" dT="2026-09-03T13:45:36.801" personId="{CD3F7F34-2BDC-4182-82F2-71E214C86D42}" id="{5AB030E6-4D1A-4C7A-8767-67F0175DEEB8}">
    <xltc:text>Источник: рабочая гипотеза, фактические данные отсутствуют. H: сопровождение/QA/продукт; без поддержки из строк 40–42. Проверка: 2026-09-03.</xltc:text>
  </xltc:threadedComment>
  <xltc:threadedComment ref="C55" dT="2026-09-03T13:45:36.801" personId="{CD3F7F34-2BDC-4182-82F2-71E214C86D42}" id="{2B171312-3164-4089-9E63-0B2C80611FAE}">
    <xltc:text>Источник: рабочая гипотеза, фактические данные отсутствуют. H: R&amp;D, безопасность, биллинг, QA; НЕ бюджет хакатонного виджета. Проверка: 2026-09-03.</xltc:text>
  </xltc:threadedComment>
  <xltc:threadedComment ref="D55" dT="2026-09-03T13:45:36.801" personId="{CD3F7F34-2BDC-4182-82F2-71E214C86D42}" id="{8DF69F3A-3A16-41EB-B50C-599448576AEA}">
    <xltc:text>Источник: рабочая гипотеза, фактические данные отсутствуют. H: R&amp;D, безопасность, биллинг, QA; НЕ бюджет хакатонного виджета. Проверка: 2026-09-03.</xltc:text>
  </xltc:threadedComment>
  <xltc:threadedComment ref="E55" dT="2026-09-03T13:45:36.801" personId="{CD3F7F34-2BDC-4182-82F2-71E214C86D42}" id="{796E186A-BED8-4D66-9179-428A6A3DAD68}">
    <xltc:text>Источник: рабочая гипотеза, фактические данные отсутствуют. H: R&amp;D, безопасность, биллинг, QA; НЕ бюджет хакатонного виджета. Проверка: 2026-09-03.</xltc:text>
  </xltc:threadedComment>
  <xltc:threadedComment ref="C56" dT="2026-09-03T13:45:36.801" personId="{CD3F7F34-2BDC-4182-82F2-71E214C86D42}" id="{642AD9F6-FFB0-482A-8ED5-C7F3ECE66F4B}">
    <xltc:text>Источник: рабочая гипотеза, фактические данные отсутствуют. H: равномерный поток, не прогноз продаж и не TAM. Проверка: 2026-09-03.</xltc:text>
  </xltc:threadedComment>
  <xltc:threadedComment ref="D56" dT="2026-09-03T13:45:36.801" personId="{CD3F7F34-2BDC-4182-82F2-71E214C86D42}" id="{B37F65C4-C1E7-4935-93DE-F80D8567191A}">
    <xltc:text>Источник: рабочая гипотеза, фактические данные отсутствуют. H: равномерный поток, не прогноз продаж и не TAM. Проверка: 2026-09-03.</xltc:text>
  </xltc:threadedComment>
  <xltc:threadedComment ref="E56" dT="2026-09-03T13:45:36.801" personId="{CD3F7F34-2BDC-4182-82F2-71E214C86D42}" id="{8E539118-8963-440D-9014-6B5BFE5CEE7E}">
    <xltc:text>Источник: рабочая гипотеза, фактические данные отсутствуют. H: равномерный поток, не прогноз продаж и не TAM. Проверка: 2026-09-03.</xltc:text>
  </xltc:threadedComment>
  <xltc:threadedComment ref="C57" dT="2026-09-03T13:45:36.802" personId="{CD3F7F34-2BDC-4182-82F2-71E214C86D42}" id="{9E36ED9E-6C6E-468B-9C2B-570314A6CE09}">
    <xltc:text>Источник: рабочая гипотеза, фактические данные отсутствуют. H: действующие подписки, если модель используют после запуска. Проверка: 2026-09-03.</xltc:text>
  </xltc:threadedComment>
  <xltc:threadedComment ref="D57" dT="2026-09-03T13:45:36.802" personId="{CD3F7F34-2BDC-4182-82F2-71E214C86D42}" id="{928B709D-5B01-42F2-9D5A-F878DC0AB0B0}">
    <xltc:text>Источник: рабочая гипотеза, фактические данные отсутствуют. H: действующие подписки, если модель используют после запуска. Проверка: 2026-09-03.</xltc:text>
  </xltc:threadedComment>
  <xltc:threadedComment ref="E57" dT="2026-09-03T13:45:36.802" personId="{CD3F7F34-2BDC-4182-82F2-71E214C86D42}" id="{BDE5CB85-63AD-4D1C-94D1-2C747EF8920D}">
    <xltc:text>Источник: рабочая гипотеза, фактические данные отсутствуют. H: действующие подписки, если модель используют после запуска. Проверка: 2026-09-03.</xltc:text>
  </xltc:threadedComment>
  <xltc:threadedComment ref="C58" dT="2026-09-03T13:45:36.802" personId="{CD3F7F34-2BDC-4182-82F2-71E214C86D42}" id="{61E329E0-20BB-4D05-B4F5-EAA1921F1AE3}">
    <xltc:text>Источник: рабочая гипотеза, фактические данные отсутствуют. H: условная база для bundle, не реальные данные MWS. Проверка: 2026-09-03.</xltc:text>
  </xltc:threadedComment>
  <xltc:threadedComment ref="D58" dT="2026-09-03T13:45:36.802" personId="{CD3F7F34-2BDC-4182-82F2-71E214C86D42}" id="{6436DD68-DF9A-42BD-880D-E824EEC5B4FB}">
    <xltc:text>Источник: рабочая гипотеза, фактические данные отсутствуют. H: условная база для bundle, не реальные данные MWS. Проверка: 2026-09-03.</xltc:text>
  </xltc:threadedComment>
  <xltc:threadedComment ref="E58" dT="2026-09-03T13:45:36.802" personId="{CD3F7F34-2BDC-4182-82F2-71E214C86D42}" id="{29A317E6-332D-4A0A-B9BD-365B40A491AA}">
    <xltc:text>Источник: рабочая гипотеза, фактические данные отсутствуют. H: условная база для bundle, не реальные данные MWS. Проверка: 2026-09-03.</xltc:text>
  </xltc:threadedComment>
  <xltc:threadedComment ref="C59" dT="2026-09-03T13:45:36.802" personId="{CD3F7F34-2BDC-4182-82F2-71E214C86D42}" id="{FFF0BF80-2F0D-4F7C-9D9C-7310A0E19524}">
    <xltc:text>Источник: рабочая гипотеза, фактические данные отсутствуют. H: стоимость несут все активные, а выручка не вся дополнительная. Проверка: 2026-09-03.</xltc:text>
  </xltc:threadedComment>
  <xltc:threadedComment ref="D59" dT="2026-09-03T13:45:36.802" personId="{CD3F7F34-2BDC-4182-82F2-71E214C86D42}" id="{E5A54EE9-DC17-4DF2-8A3C-CDC72DB0815D}">
    <xltc:text>Источник: рабочая гипотеза, фактические данные отсутствуют. H: стоимость несут все активные, а выручка не вся дополнительная. Проверка: 2026-09-03.</xltc:text>
  </xltc:threadedComment>
  <xltc:threadedComment ref="E59" dT="2026-09-03T13:45:36.802" personId="{CD3F7F34-2BDC-4182-82F2-71E214C86D42}" id="{98978C90-AA1D-4E6A-A5D0-EE1D039D8AED}">
    <xltc:text>Источник: рабочая гипотеза, фактические данные отсутствуют. H: стоимость несут все активные, а выручка не вся дополнительная. Проверка: 2026-09-03.</xltc:text>
  </xltc:threadedComment>
  <xltc:threadedComment ref="C60" dT="2026-09-03T13:45:36.802" personId="{CD3F7F34-2BDC-4182-82F2-71E214C86D42}" id="{E96A21DE-1D28-4ED3-9980-0AA8FFF10C1E}">
    <xltc:text>Источник: рабочая гипотеза, фактические данные отсутствуют. H: запас активных за месяц, НЕ новые продажи каждый месяц. Проверка: 2026-09-03.</xltc:text>
  </xltc:threadedComment>
  <xltc:threadedComment ref="D60" dT="2026-09-03T13:45:36.802" personId="{CD3F7F34-2BDC-4182-82F2-71E214C86D42}" id="{C9590771-2A33-46F1-AF62-596A25E6B532}">
    <xltc:text>Источник: рабочая гипотеза, фактические данные отсутствуют. H: запас активных за месяц, НЕ новые продажи каждый месяц. Проверка: 2026-09-03.</xltc:text>
  </xltc:threadedComment>
  <xltc:threadedComment ref="E60" dT="2026-09-03T13:45:36.802" personId="{CD3F7F34-2BDC-4182-82F2-71E214C86D42}" id="{8B8BDF0A-91BD-48E4-9B8C-F4FFE95ABAC9}">
    <xltc:text>Источник: рабочая гипотеза, фактические данные отсутствуют. H: запас активных за месяц, НЕ новые продажи каждый месяц. Проверка: 2026-09-03.</xltc:text>
  </xltc:threadedComment>
  <xltc:threadedComment ref="C61" dT="2026-09-03T13:45:36.803" personId="{CD3F7F34-2BDC-4182-82F2-71E214C86D42}" id="{08A606ED-E5E8-4A5C-B6A3-F399BBF7AE97}">
    <xltc:text>Источник: рабочая гипотеза, фактические данные отсутствуют. H: только bundle; бюджет демо не входит в модель add-on. Проверка: 2026-09-03.</xltc:text>
  </xltc:threadedComment>
  <xltc:threadedComment ref="D61" dT="2026-09-03T13:45:36.803" personId="{CD3F7F34-2BDC-4182-82F2-71E214C86D42}" id="{40A607A7-4B65-4D0F-846A-723BFBE33541}">
    <xltc:text>Источник: рабочая гипотеза, фактические данные отсутствуют. H: только bundle; бюджет демо не входит в модель add-on. Проверка: 2026-09-03.</xltc:text>
  </xltc:threadedComment>
  <xltc:threadedComment ref="E61" dT="2026-09-03T13:45:36.803" personId="{CD3F7F34-2BDC-4182-82F2-71E214C86D42}" id="{71A2BC58-4008-4435-A43E-3EA15BB8502A}">
    <xltc:text>Источник: рабочая гипотеза, фактические данные отсутствуют. H: только bundle; бюджет демо не входит в модель add-on. Проверка: 2026-09-03.</xltc:text>
  </xltc:threadedComment>
  <xltc:threadedComment ref="C62" dT="2026-09-03T13:45:36.803" personId="{CD3F7F34-2BDC-4182-82F2-71E214C86D42}" id="{59048699-7020-4984-B454-24243D0D5127}">
    <xltc:text>Источник: рабочая гипотеза, фактические данные отсутствуют. H: полный дополнительный COGS, отдельный от платного потока. Проверка: 2026-09-03.</xltc:text>
  </xltc:threadedComment>
  <xltc:threadedComment ref="D62" dT="2026-09-03T13:45:36.803" personId="{CD3F7F34-2BDC-4182-82F2-71E214C86D42}" id="{C3931B2E-CA44-4A19-9D23-B58248514703}">
    <xltc:text>Источник: рабочая гипотеза, фактические данные отсутствуют. H: полный дополнительный COGS, отдельный от платного потока. Проверка: 2026-09-03.</xltc:text>
  </xltc:threadedComment>
  <xltc:threadedComment ref="E62" dT="2026-09-03T13:45:36.803" personId="{CD3F7F34-2BDC-4182-82F2-71E214C86D42}" id="{D05E2513-2534-41D9-945F-179C2842D0B1}">
    <xltc:text>Источник: рабочая гипотеза, фактические данные отсутствуют. H: полный дополнительный COGS, отдельный от платного потока. Проверка: 2026-09-03.</xltc:text>
  </xltc:threadedComment>
  <xltc:threadedComment ref="C63" dT="2026-09-03T13:45:36.803" personId="{CD3F7F34-2BDC-4182-82F2-71E214C86D42}" id="{938382AA-7E37-43F5-8A09-1C08409590F5}">
    <xltc:text>Источник: рабочая гипотеза, фактические данные отсутствуют. H: суммарные минуты; не складывать с поддержкой платного аккаунта. Проверка: 2026-09-03.</xltc:text>
  </xltc:threadedComment>
  <xltc:threadedComment ref="D63" dT="2026-09-03T13:45:36.803" personId="{CD3F7F34-2BDC-4182-82F2-71E214C86D42}" id="{663C4AD5-5B11-4E3E-8341-AEF60A42F658}">
    <xltc:text>Источник: рабочая гипотеза, фактические данные отсутствуют. H: суммарные минуты; не складывать с поддержкой платного аккаунта. Проверка: 2026-09-03.</xltc:text>
  </xltc:threadedComment>
  <xltc:threadedComment ref="E63" dT="2026-09-03T13:45:36.803" personId="{CD3F7F34-2BDC-4182-82F2-71E214C86D42}" id="{8BE08B99-4725-4FC8-8AC6-41455BECF046}">
    <xltc:text>Источник: рабочая гипотеза, фактические данные отсутствуют. H: суммарные минуты; не складывать с поддержкой платного аккаунта. Проверка: 2026-09-03.</xltc:text>
  </xltc:threadedComment>
  <xltc:threadedComment ref="C64" dT="2026-09-03T13:45:36.803" personId="{CD3F7F34-2BDC-4182-82F2-71E214C86D42}" id="{83AC2B42-7B99-4B64-B326-A80BC42B49A4}">
    <xltc:text>Источник: рабочая гипотеза, фактические данные отсутствуют. H: 1 = свой API-ключ клиента; стоимость переносится, не исчезает. Проверка: 2026-09-03.</xltc:text>
  </xltc:threadedComment>
  <xltc:threadedComment ref="D64" dT="2026-09-03T13:45:36.803" personId="{CD3F7F34-2BDC-4182-82F2-71E214C86D42}" id="{E15B85B3-B5D8-4455-81D6-EC6BE075E671}">
    <xltc:text>Источник: рабочая гипотеза, фактические данные отсутствуют. H: 1 = свой API-ключ клиента; стоимость переносится, не исчезает. Проверка: 2026-09-03.</xltc:text>
  </xltc:threadedComment>
  <xltc:threadedComment ref="E64" dT="2026-09-03T13:45:36.803" personId="{CD3F7F34-2BDC-4182-82F2-71E214C86D42}" id="{A1923E84-6B55-4034-BD60-F96AE32E0E08}">
    <xltc:text>Источник: рабочая гипотеза, фактические данные отсутствуют. H: 1 = свой API-ключ клиента; стоимость переносится, не исчезает. Проверка: 2026-09-03.</xltc:text>
  </xltc:threadedComment>
  <xltc:threadedComment ref="C65" dT="2026-09-03T13:45:36.803" personId="{CD3F7F34-2BDC-4182-82F2-71E214C86D42}" id="{AEB3E5F9-035B-4C71-84E7-90E37C52AFBA}">
    <xltc:text>Источник: рабочая гипотеза, фактические данные отсутствуют. H: сокращают доход модуля; без дублирования в инцидентных расходах. Проверка: 2026-09-03.</xltc:text>
  </xltc:threadedComment>
  <xltc:threadedComment ref="D65" dT="2026-09-03T13:45:36.803" personId="{CD3F7F34-2BDC-4182-82F2-71E214C86D42}" id="{567D86D3-9B6E-4461-AB0D-32BE795BC7F1}">
    <xltc:text>Источник: рабочая гипотеза, фактические данные отсутствуют. H: сокращают доход модуля; без дублирования в инцидентных расходах. Проверка: 2026-09-03.</xltc:text>
  </xltc:threadedComment>
  <xltc:threadedComment ref="E65" dT="2026-09-03T13:45:36.803" personId="{CD3F7F34-2BDC-4182-82F2-71E214C86D42}" id="{979DCF91-3CAA-47A2-99D6-F907CB2B6DC5}">
    <xltc:text>Источник: рабочая гипотеза, фактические данные отсутствуют. H: сокращают доход модуля; без дублирования в инцидентных расходах. Проверка: 2026-09-03.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102492a164a42b7" /><Relationship Type="http://schemas.openxmlformats.org/officeDocument/2006/relationships/vmlDrawing" Target="/xl/drawings/vmldrawing.vml" Id="R861aa545d5474152" /><Relationship Type="http://schemas.microsoft.com/office/2017/10/relationships/threadedComment" Target="/xl/threadedcomments/threadedcomment.xml" Id="R7d577e984dd540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467c30b65e74f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57" hidden="0" customWidth="1"/>
  </x:cols>
  <x:sheetData>
    <x:row r="1" ht="44" customHeight="1">
      <x:c r="A1" s="4" t="str">
        <x:v>Project Launch Copilot · unit-экономика</x:v>
      </x:c>
      <x:c r="B1" s="4"/>
      <x:c r="C1" s="4"/>
      <x:c r="D1" s="4"/>
      <x:c r="E1" s="4"/>
      <x:c r="F1" s="4"/>
    </x:row>
    <x:row r="2" ht="35" customHeight="1">
      <x:c r="A2" s="6" t="str">
        <x:v>03.09.2026 · Весь объём кейса · Сценарный шаблон для команды, не финансовый прогноз MWS.</x:v>
      </x:c>
      <x:c r="B2" s="6"/>
      <x:c r="C2" s="6"/>
      <x:c r="D2" s="6"/>
      <x:c r="E2" s="6"/>
      <x:c r="F2" s="6"/>
    </x:row>
    <x:row r="3" ht="27" customHeight="1">
      <x:c r="A3" s="2"/>
      <x:c r="B3" s="2"/>
      <x:c r="C3" s="2"/>
      <x:c r="D3" s="2"/>
      <x:c r="E3" s="2"/>
      <x:c r="F3" s="2"/>
    </x:row>
    <x:row r="4" ht="30" customHeight="1">
      <x:c r="A4" s="8" t="str">
        <x:v>Показатель</x:v>
      </x:c>
      <x:c r="B4" s="8" t="str">
        <x:v>Единица</x:v>
      </x:c>
      <x:c r="C4" s="8" t="str">
        <x:v>Стресс</x:v>
      </x:c>
      <x:c r="D4" s="8" t="str">
        <x:v>Базовый</x:v>
      </x:c>
      <x:c r="E4" s="8" t="str">
        <x:v>Эффективный</x:v>
      </x:c>
      <x:c r="F4" s="8" t="str">
        <x:v>Пояснение</x:v>
      </x:c>
    </x:row>
    <x:row r="5" ht="38" customHeight="1">
      <x:c r="A5" s="12" t="str">
        <x:v>Контроль формул</x:v>
      </x:c>
      <x:c r="B5" s="2" t="str"/>
      <x:c r="C5" s="36" t="str">
        <x:f>'Контроль'!C15</x:f>
        <x:v>PASS</x:v>
      </x:c>
      <x:c r="D5" s="36" t="str">
        <x:f>'Контроль'!D15</x:f>
        <x:v>PASS</x:v>
      </x:c>
      <x:c r="E5" s="36" t="str">
        <x:f>'Контроль'!E15</x:f>
        <x:v>PASS</x:v>
      </x:c>
      <x:c r="F5" s="6" t="str">
        <x:v>Начните с Допущений. Изменения пересчитают остальные листы.</x:v>
      </x:c>
    </x:row>
    <x:row r="6" ht="38" customHeight="1">
      <x:c r="A6" s="12" t="str">
        <x:v>Текущий пакет: 4 места</x:v>
      </x:c>
      <x:c r="B6" s="2" t="str">
        <x:v>₽/мес.</x:v>
      </x:c>
      <x:c r="C6" s="9" t="n">
        <x:f>'Юнит MWS'!C5</x:f>
        <x:v>1920</x:v>
      </x:c>
      <x:c r="D6" s="9" t="n">
        <x:f>'Юнит MWS'!D5</x:f>
        <x:v>1920</x:v>
      </x:c>
      <x:c r="E6" s="9" t="n">
        <x:f>'Юнит MWS'!E5</x:f>
        <x:v>1920</x:v>
      </x:c>
      <x:c r="F6" s="6" t="str">
        <x:v>23 040 ₽/год по скрину; 480 ₽/место/мес — лишь арифметика пакета.</x:v>
      </x:c>
    </x:row>
    <x:row r="7" ht="38" customHeight="1">
      <x:c r="A7" s="12" t="str">
        <x:v>Обрабатываемый поток</x:v>
      </x:c>
      <x:c r="B7" s="2" t="str">
        <x:v>заявок/мес.</x:v>
      </x:c>
      <x:c r="C7" s="9" t="n">
        <x:f>'Юнит MWS'!C9</x:f>
        <x:v>120</x:v>
      </x:c>
      <x:c r="D7" s="9" t="n">
        <x:f>'Юнит MWS'!D9</x:f>
        <x:v>160</x:v>
      </x:c>
      <x:c r="E7" s="9" t="n">
        <x:f>'Юнит MWS'!E9</x:f>
        <x:v>200</x:v>
      </x:c>
      <x:c r="F7" s="6" t="str">
        <x:v>Это не число вызовов AI и не количество созданных задач.</x:v>
      </x:c>
    </x:row>
    <x:row r="8" ht="27" customHeight="1">
      <x:c r="A8" s="2"/>
      <x:c r="B8" s="2"/>
      <x:c r="C8" s="2"/>
      <x:c r="D8" s="2"/>
      <x:c r="E8" s="2"/>
      <x:c r="F8" s="2"/>
    </x:row>
    <x:row r="9" ht="28" customHeight="1">
      <x:c r="A9" s="28" t="str">
        <x:v>B · Модуль с квотой — рабочая гипотеза для проверки</x:v>
      </x:c>
      <x:c r="B9" s="28"/>
      <x:c r="C9" s="28"/>
      <x:c r="D9" s="28"/>
      <x:c r="E9" s="28"/>
      <x:c r="F9" s="28"/>
    </x:row>
    <x:row r="10" ht="38" customHeight="1">
      <x:c r="A10" s="12" t="str">
        <x:v>Доплата за модуль</x:v>
      </x:c>
      <x:c r="B10" s="2" t="str">
        <x:v>₽/мес.</x:v>
      </x:c>
      <x:c r="C10" s="9" t="n">
        <x:f>'Юнит MWS'!C22</x:f>
        <x:v>1490</x:v>
      </x:c>
      <x:c r="D10" s="9" t="n">
        <x:f>'Юнит MWS'!D22</x:f>
        <x:v>2990</x:v>
      </x:c>
      <x:c r="E10" s="9" t="n">
        <x:f>'Юнит MWS'!E22</x:f>
        <x:v>4990</x:v>
      </x:c>
      <x:c r="F10" s="6" t="str"/>
    </x:row>
    <x:row r="11" ht="38" customHeight="1">
      <x:c r="A11" s="12" t="str">
        <x:v>Себестоимость обслуживания</x:v>
      </x:c>
      <x:c r="B11" s="2" t="str">
        <x:v>₽/мес.</x:v>
      </x:c>
      <x:c r="C11" s="18" t="n">
        <x:f>'Юнит MWS'!C18</x:f>
        <x:v>1485.2906666666668</x:v>
      </x:c>
      <x:c r="D11" s="18" t="n">
        <x:f>'Юнит MWS'!D18</x:f>
        <x:v>313</x:v>
      </x:c>
      <x:c r="E11" s="18" t="n">
        <x:f>'Юнит MWS'!E18</x:f>
        <x:v>103.1</x:v>
      </x:c>
      <x:c r="F11" s="6" t="str"/>
    </x:row>
    <x:row r="12" ht="38" customHeight="1">
      <x:c r="A12" s="12" t="str">
        <x:v>Маржинальный вклад</x:v>
      </x:c>
      <x:c r="B12" s="2" t="str">
        <x:v>₽/мес.</x:v>
      </x:c>
      <x:c r="C12" s="9" t="n">
        <x:f>'Юнит MWS'!C25</x:f>
        <x:v>-84.69066666666671</x:v>
      </x:c>
      <x:c r="D12" s="9" t="n">
        <x:f>'Юнит MWS'!D25</x:f>
        <x:v>2557.4</x:v>
      </x:c>
      <x:c r="E12" s="9" t="n">
        <x:f>'Юнит MWS'!E25</x:f>
        <x:v>4787.099999999999</x:v>
      </x:c>
      <x:c r="F12" s="6" t="str"/>
    </x:row>
    <x:row r="13" ht="38" customHeight="1">
      <x:c r="A13" s="12" t="str">
        <x:v>Маржа до Opex / R&amp;D / продаж</x:v>
      </x:c>
      <x:c r="B13" s="2" t="str">
        <x:v>доля</x:v>
      </x:c>
      <x:c r="C13" s="13" t="n">
        <x:f>'Юнит MWS'!C26</x:f>
        <x:v>-0.057999360818152795</x:v>
      </x:c>
      <x:c r="D13" s="13" t="n">
        <x:f>'Юнит MWS'!D26</x:f>
        <x:v>0.8639572987399075</x:v>
      </x:c>
      <x:c r="E13" s="13" t="n">
        <x:f>'Юнит MWS'!E26</x:f>
        <x:v>0.9593386773547093</x:v>
      </x:c>
      <x:c r="F13" s="6" t="str"/>
    </x:row>
    <x:row r="14" ht="38" customHeight="1">
      <x:c r="A14" s="12" t="str">
        <x:v>Устойчивая база с возвратом R&amp;D</x:v>
      </x:c>
      <x:c r="B14" s="2" t="str">
        <x:v>аккаунтов</x:v>
      </x:c>
      <x:c r="C14" s="9" t="str">
        <x:f>'Юнит MWS'!C32</x:f>
        <x:v>нет порога</x:v>
      </x:c>
      <x:c r="D14" s="9" t="n">
        <x:f>'Юнит MWS'!D32</x:f>
        <x:v>37</x:v>
      </x:c>
      <x:c r="E14" s="9" t="n">
        <x:f>'Юнит MWS'!E32</x:f>
        <x:v>10</x:v>
      </x:c>
      <x:c r="F14" s="6" t="str"/>
    </x:row>
    <x:row r="15" ht="27" customHeight="1">
      <x:c r="A15" s="2"/>
      <x:c r="B15" s="2"/>
      <x:c r="C15" s="2"/>
      <x:c r="D15" s="2"/>
      <x:c r="E15" s="2"/>
      <x:c r="F15" s="2"/>
    </x:row>
    <x:row r="16" ht="38" customHeight="1">
      <x:c r="A16" s="12" t="str">
        <x:v>Денежный эффект у клиента</x:v>
      </x:c>
      <x:c r="B16" s="2" t="str">
        <x:v>₽/мес.</x:v>
      </x:c>
      <x:c r="C16" s="9" t="n">
        <x:f>'Клиент'!C24</x:f>
        <x:v>-9490</x:v>
      </x:c>
      <x:c r="D16" s="9" t="n">
        <x:f>'Клиент'!D24</x:f>
        <x:v>38209.99999999999</x:v>
      </x:c>
      <x:c r="E16" s="9" t="n">
        <x:f>'Клиент'!E24</x:f>
        <x:v>135510</x:v>
      </x:c>
      <x:c r="F16" s="6" t="str">
        <x:v>Не путать с полной ценностью высвобождённого труда.</x:v>
      </x:c>
    </x:row>
    <x:row r="17" ht="38" customHeight="1">
      <x:c r="A17" s="12" t="str">
        <x:v>Bundle: дополнительный результат</x:v>
      </x:c>
      <x:c r="B17" s="2" t="str">
        <x:v>₽/мес.</x:v>
      </x:c>
      <x:c r="C17" s="9" t="n">
        <x:f>'Юнит MWS'!C52</x:f>
        <x:v>-528977.1733333333</x:v>
      </x:c>
      <x:c r="D17" s="9" t="n">
        <x:f>'Юнит MWS'!D52</x:f>
        <x:v>-49800</x:v>
      </x:c>
      <x:c r="E17" s="9" t="n">
        <x:f>'Юнит MWS'!E52</x:f>
        <x:v>193694</x:v>
      </x:c>
      <x:c r="F17" s="6" t="str">
        <x:v>A: без доплаты, до R&amp;D и дополнительного привлечения.</x:v>
      </x:c>
    </x:row>
    <x:row r="18" ht="38" customHeight="1">
      <x:c r="A18" s="12" t="str">
        <x:v>Только объём: вклад</x:v>
      </x:c>
      <x:c r="B18" s="2" t="str">
        <x:v>₽/мес.</x:v>
      </x:c>
      <x:c r="C18" s="9" t="n">
        <x:f>'Юнит MWS'!C39</x:f>
        <x:v>770.7093333333332</x:v>
      </x:c>
      <x:c r="D18" s="9" t="n">
        <x:f>'Юнит MWS'!D39</x:f>
        <x:v>2759</x:v>
      </x:c>
      <x:c r="E18" s="9" t="n">
        <x:f>'Юнит MWS'!E39</x:f>
        <x:v>3816.9</x:v>
      </x:c>
      <x:c r="F18" s="6" t="str">
        <x:v>C: альтернатива модулю, не дополнительный доход поверх него.</x:v>
      </x:c>
    </x:row>
    <x:row r="19" ht="27" customHeight="1">
      <x:c r="A19" s="2"/>
      <x:c r="B19" s="2"/>
      <x:c r="C19" s="2"/>
      <x:c r="D19" s="2"/>
      <x:c r="E19" s="2"/>
      <x:c r="F19" s="2"/>
    </x:row>
    <x:row r="20" ht="50" customHeight="1">
      <x:c r="A20" s="30" t="str">
        <x:v>Гипотеза: базовая очистка в продукте, помощник — платный модуль на аккаунт/договор с общим пулом заявок. Не берём плату пять раз за пять пространств. Единицу биллинга MWS нужно подтвердить. База работает без LLM.</x:v>
      </x:c>
      <x:c r="B20" s="30"/>
      <x:c r="C20" s="30"/>
      <x:c r="D20" s="30"/>
      <x:c r="E20" s="30"/>
      <x:c r="F20" s="30"/>
    </x:row>
    <x:row r="21" ht="27" customHeight="1">
      <x:c r="A21" s="2"/>
      <x:c r="B21" s="2"/>
      <x:c r="C21" s="2"/>
      <x:c r="D21" s="2"/>
      <x:c r="E21" s="2"/>
      <x:c r="F21" s="2"/>
    </x:row>
    <x:row r="22" ht="28" customHeight="1">
      <x:c r="A22" s="28" t="str">
        <x:v>Как пользоваться · без формализации командного процесса</x:v>
      </x:c>
      <x:c r="B22" s="28"/>
      <x:c r="C22" s="28"/>
      <x:c r="D22" s="28"/>
      <x:c r="E22" s="28"/>
      <x:c r="F22" s="28"/>
    </x:row>
    <x:row r="23" ht="48" customHeight="1">
      <x:c r="A23" s="30" t="str">
        <x:v>1. Синие ячейки — ввод. Жёлтые — неподтверждённые допущения. 2. Меняйте нагрузку, цену, поддержку и R&amp;D. 3. Смотрите Юнит MWS, Клиент и Чувствительность. 4. Рост показывает только базовый сценарий B.</x:v>
      </x:c>
      <x:c r="B23" s="30"/>
      <x:c r="C23" s="30"/>
      <x:c r="D23" s="30"/>
      <x:c r="E23" s="30"/>
      <x:c r="F23" s="30"/>
    </x:row>
    <x:row r="24" ht="27" customHeight="1">
      <x:c r="A24" s="2"/>
      <x:c r="B24" s="2"/>
      <x:c r="C24" s="2"/>
      <x:c r="D24" s="2"/>
      <x:c r="E24" s="2"/>
      <x:c r="F24" s="2"/>
    </x:row>
    <x:row r="25" ht="48" customHeight="1">
      <x:c r="A25" s="30" t="str">
        <x:v>Единица оплаты: принятая пользователем подготовка уникальной версии заявки. Повтор, технический retry и созданные задачи отдельно не тарифицируются. Незавершённые попытки — затраты MWS; включайте их в средний COGS.</x:v>
      </x:c>
      <x:c r="B25" s="30"/>
      <x:c r="C25" s="30"/>
      <x:c r="D25" s="30"/>
      <x:c r="E25" s="30"/>
      <x:c r="F25" s="30"/>
    </x:row>
    <x:row r="26" ht="27" customHeight="1">
      <x:c r="A26" s="2"/>
      <x:c r="B26" s="2"/>
      <x:c r="C26" s="2"/>
      <x:c r="D26" s="2"/>
      <x:c r="E26" s="2"/>
      <x:c r="F26" s="2"/>
    </x:row>
    <x:row r="27" ht="49" customHeight="1">
      <x:c r="A27" s="30" t="str">
        <x:v>Источник шаблона: SaaS Economics 101 (David Skok); методика адаптирована под инкрементальную фичу. Источники и исходный скрин внутри книги. Неподтверждённые цены 1 490 / 2 990 / 4 990 ₽ — тестовые точки, не новые тарифы MWS.</x:v>
      </x:c>
      <x:c r="B27" s="30"/>
      <x:c r="C27" s="30"/>
      <x:c r="D27" s="30"/>
      <x:c r="E27" s="30"/>
      <x:c r="F27" s="30"/>
    </x:row>
    <x:row r="28" ht="27" customHeight="1">
      <x:c r="A28" s="2"/>
      <x:c r="B28" s="2"/>
      <x:c r="C28" s="2"/>
      <x:c r="D28" s="2"/>
      <x:c r="E28" s="2"/>
      <x:c r="F28" s="2"/>
    </x:row>
    <x:row r="29" ht="49" customHeight="1">
      <x:c r="A29" s="30" t="str">
        <x:v>Ключевые ограничения: нет размера базы, реальных затрат, churn, спроса и замеров времени. Не суммируйте A/B/C. Сэкономленные часы не становятся деньгами автоматически. Налоги и годовая предоплата требуют отдельного уточнения.</x:v>
      </x:c>
      <x:c r="B29" s="30"/>
      <x:c r="C29" s="30"/>
      <x:c r="D29" s="30"/>
      <x:c r="E29" s="30"/>
      <x:c r="F29" s="30"/>
    </x:row>
    <x:row r="30" ht="27" customHeight="1">
      <x:c r="A30" s="2"/>
      <x:c r="B30" s="2"/>
      <x:c r="C30" s="2"/>
      <x:c r="D30" s="2"/>
      <x:c r="E30" s="2"/>
      <x:c r="F30" s="2"/>
    </x:row>
    <x:row r="31" ht="28" customHeight="1">
      <x:c r="A31" s="28" t="str">
        <x:v>Иллюстрация роста · только базовый сценарий B</x:v>
      </x:c>
      <x:c r="B31" s="28"/>
      <x:c r="C31" s="28"/>
      <x:c r="D31" s="28"/>
      <x:c r="E31" s="28"/>
      <x:c r="F31" s="28"/>
    </x:row>
    <x:row r="32" ht="38" customHeight="1">
      <x:c r="A32" s="2" t="str">
        <x:v>Накопленный результат к месяцу 24</x:v>
      </x:c>
      <x:c r="B32" s="2" t="str">
        <x:v>₽</x:v>
      </x:c>
      <x:c r="C32" s="2"/>
      <x:c r="D32" s="9" t="n">
        <x:f>'Рост'!K28</x:f>
        <x:v>5603185.186958848</x:v>
      </x:c>
      <x:c r="E32" s="2"/>
      <x:c r="F32" s="2"/>
    </x:row>
    <x:row r="33" ht="38" customHeight="1">
      <x:c r="A33" s="2" t="str">
        <x:v>Первый месяц возврата R&amp;D</x:v>
      </x:c>
      <x:c r="B33" s="2" t="str">
        <x:v>месяц</x:v>
      </x:c>
      <x:c r="C33" s="2"/>
      <x:c r="D33" s="2" t="n">
        <x:f>IF(COUNTIF('Рост'!L5:L28,1)=0,"позже 24",MATCH(1,'Рост'!L5:L28,0))</x:f>
        <x:v>12</x:v>
      </x:c>
      <x:c r="E33" s="2"/>
      <x:c r="F33" s="12" t="str">
        <x:v>Первый месяц неотрицательного накопленного результата.</x:v>
      </x:c>
    </x:row>
    <x:row r="34" ht="27" customHeight="1">
      <x:c r="A34" s="2"/>
      <x:c r="B34" s="2"/>
      <x:c r="C34" s="2"/>
      <x:c r="D34" s="2"/>
      <x:c r="E34" s="2"/>
      <x:c r="F34" s="2"/>
    </x:row>
    <x:row r="35" ht="46" customHeight="1">
      <x:c r="A35" s="30" t="str">
        <x:v>Для уже оплачивающего MWS клиента расширение не получает всю базовую выручку. Для нового покупателя Unlimit включите Допущения → «Клиенту нужен новый Unlimit?». Цена на места сверх четырёх не выдумана.</x:v>
      </x:c>
      <x:c r="B35" s="30"/>
      <x:c r="C35" s="30"/>
      <x:c r="D35" s="30"/>
      <x:c r="E35" s="30"/>
      <x:c r="F35" s="30"/>
    </x:row>
    <x:row r="36" ht="27" customHeight="1">
      <x:c r="A36" s="2"/>
      <x:c r="B36" s="2"/>
      <x:c r="C36" s="2"/>
      <x:c r="D36" s="2"/>
      <x:c r="E36" s="2"/>
      <x:c r="F36" s="2"/>
    </x:row>
    <x:row r="37" ht="27" customHeight="1">
      <x:c r="A37" s="2"/>
      <x:c r="B37" s="2"/>
      <x:c r="C37" s="2"/>
      <x:c r="D37" s="2"/>
      <x:c r="E37" s="2"/>
      <x:c r="F37" s="2"/>
    </x:row>
    <x:row r="38" ht="27" customHeight="1">
      <x:c r="A38" s="2"/>
      <x:c r="B38" s="2"/>
      <x:c r="C38" s="2"/>
      <x:c r="D38" s="2"/>
      <x:c r="E38" s="2"/>
      <x:c r="F38" s="2"/>
    </x:row>
    <x:row r="39" ht="27" customHeight="1">
      <x:c r="A39" s="2"/>
      <x:c r="B39" s="2"/>
      <x:c r="C39" s="2"/>
      <x:c r="D39" s="2"/>
      <x:c r="E39" s="2"/>
      <x:c r="F39" s="2"/>
    </x:row>
  </x:sheetData>
  <x:mergeCells>
    <x:mergeCell ref="A1:F1"/>
    <x:mergeCell ref="A2:F2"/>
    <x:mergeCell ref="A9:F9"/>
    <x:mergeCell ref="A20:F20"/>
    <x:mergeCell ref="A22:F22"/>
    <x:mergeCell ref="A23:F23"/>
    <x:mergeCell ref="A25:F25"/>
    <x:mergeCell ref="A27:F27"/>
    <x:mergeCell ref="A29:F29"/>
    <x:mergeCell ref="A31:F31"/>
    <x:mergeCell ref="A35:F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57" hidden="0" customWidth="1"/>
  </x:cols>
  <x:sheetData>
    <x:row r="1" ht="44" customHeight="1">
      <x:c r="A1" s="4" t="str">
        <x:v>Допущения · редактируйте синие ячейки</x:v>
      </x:c>
      <x:c r="B1" s="4"/>
      <x:c r="C1" s="4"/>
      <x:c r="D1" s="4"/>
      <x:c r="E1" s="4"/>
      <x:c r="F1" s="4"/>
    </x:row>
    <x:row r="2" ht="35" customHeight="1">
      <x:c r="A2" s="6" t="str">
        <x:v>Все три сценария считаются одновременно. Стресс ≠ прогноз. Суммы в RUB, без налога на прибыль.</x:v>
      </x:c>
      <x:c r="B2" s="6"/>
      <x:c r="C2" s="6"/>
      <x:c r="D2" s="6"/>
      <x:c r="E2" s="6"/>
      <x:c r="F2" s="6"/>
    </x:row>
    <x:row r="3" ht="27" customHeight="1">
      <x:c r="A3" s="2"/>
      <x:c r="B3" s="2"/>
      <x:c r="C3" s="2"/>
      <x:c r="D3" s="2"/>
      <x:c r="E3" s="2"/>
      <x:c r="F3" s="2"/>
    </x:row>
    <x:row r="4" ht="30" customHeight="1">
      <x:c r="A4" s="8" t="str">
        <x:v>Показатель</x:v>
      </x:c>
      <x:c r="B4" s="8" t="str">
        <x:v>Единица</x:v>
      </x:c>
      <x:c r="C4" s="8" t="str">
        <x:v>Стресс</x:v>
      </x:c>
      <x:c r="D4" s="8" t="str">
        <x:v>Базовый</x:v>
      </x:c>
      <x:c r="E4" s="8" t="str">
        <x:v>Эффективный</x:v>
      </x:c>
      <x:c r="F4" s="8" t="str">
        <x:v>Пояснение</x:v>
      </x:c>
    </x:row>
    <x:row r="5" ht="43" customHeight="1">
      <x:c r="A5" s="12" t="str">
        <x:v>Месяцев в году</x:v>
      </x:c>
      <x:c r="B5" s="12" t="str">
        <x:v>мес.</x:v>
      </x:c>
      <x:c r="C5" s="11" t="n">
        <x:v>12</x:v>
      </x:c>
      <x:c r="D5" s="11" t="n">
        <x:v>12</x:v>
      </x:c>
      <x:c r="E5" s="11" t="n">
        <x:v>12</x:v>
      </x:c>
      <x:c r="F5" s="6" t="str">
        <x:v>K · Константа</x:v>
      </x:c>
    </x:row>
    <x:row r="6" ht="43" customHeight="1">
      <x:c r="A6" s="12" t="str">
        <x:v>Минут в часе</x:v>
      </x:c>
      <x:c r="B6" s="12" t="str">
        <x:v>мин.</x:v>
      </x:c>
      <x:c r="C6" s="11" t="n">
        <x:v>60</x:v>
      </x:c>
      <x:c r="D6" s="11" t="n">
        <x:v>60</x:v>
      </x:c>
      <x:c r="E6" s="11" t="n">
        <x:v>60</x:v>
      </x:c>
      <x:c r="F6" s="6" t="str">
        <x:v>K · Константа</x:v>
      </x:c>
    </x:row>
    <x:row r="7" ht="43" customHeight="1">
      <x:c r="A7" s="12" t="str">
        <x:v>База цены токенов</x:v>
      </x:c>
      <x:c r="B7" s="12" t="str">
        <x:v>токенов</x:v>
      </x:c>
      <x:c r="C7" s="11" t="n">
        <x:v>1000000</x:v>
      </x:c>
      <x:c r="D7" s="11" t="n">
        <x:v>1000000</x:v>
      </x:c>
      <x:c r="E7" s="11" t="n">
        <x:v>1000000</x:v>
      </x:c>
      <x:c r="F7" s="6" t="str">
        <x:v>K · Константа</x:v>
      </x:c>
    </x:row>
    <x:row r="8" ht="43" customHeight="1">
      <x:c r="A8" s="12" t="str">
        <x:v>Unlimit: пакет за год</x:v>
      </x:c>
      <x:c r="B8" s="12" t="str">
        <x:v>₽/год</x:v>
      </x:c>
      <x:c r="C8" s="11" t="n">
        <x:v>23040</x:v>
      </x:c>
      <x:c r="D8" s="11" t="n">
        <x:v>23040</x:v>
      </x:c>
      <x:c r="E8" s="11" t="n">
        <x:v>23040</x:v>
      </x:c>
      <x:c r="F8" s="6" t="str">
        <x:v>S2 · Скрин: цена именно пакета из 4 мест.</x:v>
      </x:c>
    </x:row>
    <x:row r="9" ht="43" customHeight="1">
      <x:c r="A9" s="12" t="str">
        <x:v>Мест в показанном пакете</x:v>
      </x:c>
      <x:c r="B9" s="12" t="str">
        <x:v>мест</x:v>
      </x:c>
      <x:c r="C9" s="11" t="n">
        <x:v>4</x:v>
      </x:c>
      <x:c r="D9" s="11" t="n">
        <x:v>4</x:v>
      </x:c>
      <x:c r="E9" s="11" t="n">
        <x:v>4</x:v>
      </x:c>
      <x:c r="F9" s="6" t="str">
        <x:v>S2 · Не экстраполировать линейно на 5–1000 мест.</x:v>
      </x:c>
    </x:row>
    <x:row r="10" ht="43" customHeight="1">
      <x:c r="A10" s="12" t="str">
        <x:v>Налог в отображаемой цене</x:v>
      </x:c>
      <x:c r="B10" s="12" t="str">
        <x:v>доля</x:v>
      </x:c>
      <x:c r="C10" s="15" t="n">
        <x:v>0</x:v>
      </x:c>
      <x:c r="D10" s="15" t="n">
        <x:v>0</x:v>
      </x:c>
      <x:c r="E10" s="15" t="n">
        <x:v>0</x:v>
      </x:c>
      <x:c r="F10" s="6" t="str">
        <x:v>H · H: 0 — технический placeholder, НЕ утверждение об освобождении.</x:v>
      </x:c>
    </x:row>
    <x:row r="11" ht="43" customHeight="1">
      <x:c r="A11" s="12" t="str">
        <x:v>Вклад базового тарифа до фичи</x:v>
      </x:c>
      <x:c r="B11" s="12" t="str">
        <x:v>доля</x:v>
      </x:c>
      <x:c r="C11" s="15" t="n">
        <x:v>0.7</x:v>
      </x:c>
      <x:c r="D11" s="15" t="n">
        <x:v>0.8</x:v>
      </x:c>
      <x:c r="E11" s="15" t="n">
        <x:v>0.85</x:v>
      </x:c>
      <x:c r="F11" s="6" t="str">
        <x:v>H · H: после базового обслуживания и комиссий; только для bundle.</x:v>
      </x:c>
    </x:row>
    <x:row r="12" ht="43" customHeight="1">
      <x:c r="A12" s="12" t="str">
        <x:v>Целевая маржа фичи</x:v>
      </x:c>
      <x:c r="B12" s="12" t="str">
        <x:v>доля</x:v>
      </x:c>
      <x:c r="C12" s="15" t="n">
        <x:v>0.7</x:v>
      </x:c>
      <x:c r="D12" s="15" t="n">
        <x:v>0.7</x:v>
      </x:c>
      <x:c r="E12" s="15" t="n">
        <x:v>0.7</x:v>
      </x:c>
      <x:c r="F12" s="6" t="str">
        <x:v>H · H: внутренний порог для эксперимента, не отраслевой норматив.</x:v>
      </x:c>
    </x:row>
    <x:row r="13" ht="43" customHeight="1">
      <x:c r="A13" s="12" t="str">
        <x:v>Горизонт возврата R&amp;D / LTV-H</x:v>
      </x:c>
      <x:c r="B13" s="12" t="str">
        <x:v>мес.</x:v>
      </x:c>
      <x:c r="C13" s="17" t="n">
        <x:v>24</x:v>
      </x:c>
      <x:c r="D13" s="17" t="n">
        <x:v>24</x:v>
      </x:c>
      <x:c r="E13" s="17" t="n">
        <x:v>24</x:v>
      </x:c>
      <x:c r="F13" s="6" t="str">
        <x:v>H · H: ограниченный горизонт, не бесконечная жизнь клиента.</x:v>
      </x:c>
    </x:row>
    <x:row r="14" ht="27" customHeight="1">
      <x:c r="A14" s="2"/>
      <x:c r="B14" s="2"/>
      <x:c r="C14" s="2"/>
      <x:c r="D14" s="2"/>
      <x:c r="E14" s="2"/>
      <x:c r="F14" s="2"/>
    </x:row>
    <x:row r="15" ht="28" customHeight="1">
      <x:c r="A15" s="28" t="str">
        <x:v>01 · Поток клиента и эффект</x:v>
      </x:c>
      <x:c r="B15" s="28"/>
      <x:c r="C15" s="28"/>
      <x:c r="D15" s="28"/>
      <x:c r="E15" s="28"/>
      <x:c r="F15" s="28"/>
    </x:row>
    <x:row r="16" ht="43" customHeight="1">
      <x:c r="A16" s="12" t="str">
        <x:v>Весь поток одного клиента</x:v>
      </x:c>
      <x:c r="B16" s="12" t="str">
        <x:v>заявок/мес.</x:v>
      </x:c>
      <x:c r="C16" s="11" t="n">
        <x:v>200</x:v>
      </x:c>
      <x:c r="D16" s="11" t="n">
        <x:v>200</x:v>
      </x:c>
      <x:c r="E16" s="11" t="n">
        <x:v>200</x:v>
      </x:c>
      <x:c r="F16" s="6" t="str">
        <x:v>S1 · Модельный поток кейса; не средняя нагрузка MWS.</x:v>
      </x:c>
    </x:row>
    <x:row r="17" ht="43" customHeight="1">
      <x:c r="A17" s="12" t="str">
        <x:v>Ручное время до внедрения</x:v>
      </x:c>
      <x:c r="B17" s="12" t="str">
        <x:v>мин./заявку</x:v>
      </x:c>
      <x:c r="C17" s="11" t="n">
        <x:v>50</x:v>
      </x:c>
      <x:c r="D17" s="11" t="n">
        <x:v>50</x:v>
      </x:c>
      <x:c r="E17" s="11" t="n">
        <x:v>50</x:v>
      </x:c>
      <x:c r="F17" s="6" t="str">
        <x:v>S1 · Модельная исходная трудоёмкость.</x:v>
      </x:c>
    </x:row>
    <x:row r="18" ht="43" customHeight="1">
      <x:c r="A18" s="12" t="str">
        <x:v>Полная стоимость часа клиента</x:v>
      </x:c>
      <x:c r="B18" s="12" t="str">
        <x:v>₽/час</x:v>
      </x:c>
      <x:c r="C18" s="11" t="n">
        <x:v>2000</x:v>
      </x:c>
      <x:c r="D18" s="11" t="n">
        <x:v>2000</x:v>
      </x:c>
      <x:c r="E18" s="11" t="n">
        <x:v>2000</x:v>
      </x:c>
      <x:c r="F18" s="6" t="str">
        <x:v>S1 · Модель кейса; не зарплата сотрудника.</x:v>
      </x:c>
    </x:row>
    <x:row r="19" ht="43" customHeight="1">
      <x:c r="A19" s="12" t="str">
        <x:v>Охват потока помощником</x:v>
      </x:c>
      <x:c r="B19" s="12" t="str">
        <x:v>доля</x:v>
      </x:c>
      <x:c r="C19" s="15" t="n">
        <x:v>0.6</x:v>
      </x:c>
      <x:c r="D19" s="15" t="n">
        <x:v>0.8</x:v>
      </x:c>
      <x:c r="E19" s="15" t="n">
        <x:v>1</x:v>
      </x:c>
      <x:c r="F19" s="6" t="str">
        <x:v>H · H: остаток потока по-прежнему обрабатывается вручную.</x:v>
      </x:c>
    </x:row>
    <x:row r="20" ht="43" customHeight="1">
      <x:c r="A20" s="12" t="str">
        <x:v>Доля простых / готовых за 1 запуск</x:v>
      </x:c>
      <x:c r="B20" s="12" t="str">
        <x:v>доля</x:v>
      </x:c>
      <x:c r="C20" s="15" t="n">
        <x:v>0.5</x:v>
      </x:c>
      <x:c r="D20" s="15" t="n">
        <x:v>0.7</x:v>
      </x:c>
      <x:c r="E20" s="15" t="n">
        <x:v>0.85</x:v>
      </x:c>
      <x:c r="F20" s="6" t="str">
        <x:v>H · H: 70% — цель кейса, а не достигнутый результат.</x:v>
      </x:c>
    </x:row>
    <x:row r="21" ht="43" customHeight="1">
      <x:c r="A21" s="12" t="str">
        <x:v>Среднее время: простой случай</x:v>
      </x:c>
      <x:c r="B21" s="12" t="str">
        <x:v>мин.</x:v>
      </x:c>
      <x:c r="C21" s="20" t="n">
        <x:v>15</x:v>
      </x:c>
      <x:c r="D21" s="20" t="n">
        <x:v>8</x:v>
      </x:c>
      <x:c r="E21" s="20" t="n">
        <x:v>5</x:v>
      </x:c>
      <x:c r="F21" s="6" t="str">
        <x:v>H · H: включая preview/подтверждение; НЕ медиана.</x:v>
      </x:c>
    </x:row>
    <x:row r="22" ht="43" customHeight="1">
      <x:c r="A22" s="12" t="str">
        <x:v>Среднее время: сложный случай</x:v>
      </x:c>
      <x:c r="B22" s="12" t="str">
        <x:v>мин.</x:v>
      </x:c>
      <x:c r="C22" s="20" t="n">
        <x:v>45</x:v>
      </x:c>
      <x:c r="D22" s="20" t="n">
        <x:v>35</x:v>
      </x:c>
      <x:c r="E22" s="20" t="n">
        <x:v>20</x:v>
      </x:c>
      <x:c r="F22" s="6" t="str">
        <x:v>H · H: полный труд с доработками, включая неудачные попытки.</x:v>
      </x:c>
    </x:row>
    <x:row r="23" ht="43" customHeight="1">
      <x:c r="A23" s="12" t="str">
        <x:v>Доля высвобождения, экономящая деньги</x:v>
      </x:c>
      <x:c r="B23" s="12" t="str">
        <x:v>доля</x:v>
      </x:c>
      <x:c r="C23" s="15" t="n">
        <x:v>0</x:v>
      </x:c>
      <x:c r="D23" s="15" t="n">
        <x:v>0.25</x:v>
      </x:c>
      <x:c r="E23" s="15" t="n">
        <x:v>0.5</x:v>
      </x:c>
      <x:c r="F23" s="6" t="str">
        <x:v>H · H: реально избегаемый найм, сверхурочные, подряд; не вся ёмкость.</x:v>
      </x:c>
    </x:row>
    <x:row r="24" ht="43" customHeight="1">
      <x:c r="A24" s="12" t="str">
        <x:v>Клиенту нужен новый Unlimit?</x:v>
      </x:c>
      <x:c r="B24" s="12" t="str">
        <x:v>0 / 1</x:v>
      </x:c>
      <x:c r="C24" s="17" t="n">
        <x:v>0</x:v>
      </x:c>
      <x:c r="D24" s="17" t="n">
        <x:v>0</x:v>
      </x:c>
      <x:c r="E24" s="17" t="n">
        <x:v>0</x:v>
      </x:c>
      <x:c r="F24" s="6" t="str">
        <x:v>H · H: 0 = уже платит. Поставьте 1 для перехода с Freemium.</x:v>
      </x:c>
    </x:row>
    <x:row r="25" ht="43" customHeight="1">
      <x:c r="A25" s="12" t="str">
        <x:v>Разовое внедрение у клиента</x:v>
      </x:c>
      <x:c r="B25" s="12" t="str">
        <x:v>часов</x:v>
      </x:c>
      <x:c r="C25" s="20" t="n">
        <x:v>12</x:v>
      </x:c>
      <x:c r="D25" s="20" t="n">
        <x:v>8</x:v>
      </x:c>
      <x:c r="E25" s="20" t="n">
        <x:v>4</x:v>
      </x:c>
      <x:c r="F25" s="6" t="str">
        <x:v>H · H: настройка таблиц, правил и обучение.</x:v>
      </x:c>
    </x:row>
    <x:row r="26" ht="43" customHeight="1">
      <x:c r="A26" s="12" t="str">
        <x:v>Администрирование у клиента</x:v>
      </x:c>
      <x:c r="B26" s="12" t="str">
        <x:v>часов/мес.</x:v>
      </x:c>
      <x:c r="C26" s="20" t="n">
        <x:v>4</x:v>
      </x:c>
      <x:c r="D26" s="20" t="n">
        <x:v>2</x:v>
      </x:c>
      <x:c r="E26" s="20" t="n">
        <x:v>1</x:v>
      </x:c>
      <x:c r="F26" s="6" t="str">
        <x:v>H · H: отдельные часы, не включённые во время заявки.</x:v>
      </x:c>
    </x:row>
    <x:row r="27" ht="27" customHeight="1">
      <x:c r="A27" s="2"/>
      <x:c r="B27" s="2"/>
      <x:c r="C27" s="2"/>
      <x:c r="D27" s="2"/>
      <x:c r="E27" s="2"/>
      <x:c r="F27" s="2"/>
    </x:row>
    <x:row r="28" ht="28" customHeight="1">
      <x:c r="A28" s="28" t="str">
        <x:v>02 · Себестоимость всего помощника</x:v>
      </x:c>
      <x:c r="B28" s="28"/>
      <x:c r="C28" s="28"/>
      <x:c r="D28" s="28"/>
      <x:c r="E28" s="28"/>
      <x:c r="F28" s="28"/>
    </x:row>
    <x:row r="29" ht="43" customHeight="1">
      <x:c r="A29" s="12" t="str">
        <x:v>LLM включён</x:v>
      </x:c>
      <x:c r="B29" s="12" t="str">
        <x:v>0 / 1</x:v>
      </x:c>
      <x:c r="C29" s="17" t="n">
        <x:v>1</x:v>
      </x:c>
      <x:c r="D29" s="17" t="n">
        <x:v>1</x:v>
      </x:c>
      <x:c r="E29" s="17" t="n">
        <x:v>1</x:v>
      </x:c>
      <x:c r="F29" s="6" t="str">
        <x:v>H · H: 0 отключает только LLM-затраты. Время без LLM задайте заново.</x:v>
      </x:c>
    </x:row>
    <x:row r="30" ht="43" customHeight="1">
      <x:c r="A30" s="12" t="str">
        <x:v>Доля заявок с LLM</x:v>
      </x:c>
      <x:c r="B30" s="12" t="str">
        <x:v>доля</x:v>
      </x:c>
      <x:c r="C30" s="15" t="n">
        <x:v>0.6</x:v>
      </x:c>
      <x:c r="D30" s="15" t="n">
        <x:v>0.25</x:v>
      </x:c>
      <x:c r="E30" s="15" t="n">
        <x:v>0.1</x:v>
      </x:c>
      <x:c r="F30" s="6" t="str">
        <x:v>H · H: только неоднозначные случаи, а не весь поток.</x:v>
      </x:c>
    </x:row>
    <x:row r="31" ht="43" customHeight="1">
      <x:c r="A31" s="12" t="str">
        <x:v>Вход на один LLM-вызов</x:v>
      </x:c>
      <x:c r="B31" s="12" t="str">
        <x:v>токенов</x:v>
      </x:c>
      <x:c r="C31" s="17" t="n">
        <x:v>5000</x:v>
      </x:c>
      <x:c r="D31" s="17" t="n">
        <x:v>3000</x:v>
      </x:c>
      <x:c r="E31" s="17" t="n">
        <x:v>1500</x:v>
      </x:c>
      <x:c r="F31" s="6" t="str">
        <x:v>H · H: измерить вместе с инструкциями и справочным контекстом.</x:v>
      </x:c>
    </x:row>
    <x:row r="32" ht="43" customHeight="1">
      <x:c r="A32" s="12" t="str">
        <x:v>Выход на один LLM-вызов</x:v>
      </x:c>
      <x:c r="B32" s="12" t="str">
        <x:v>токенов</x:v>
      </x:c>
      <x:c r="C32" s="17" t="n">
        <x:v>800</x:v>
      </x:c>
      <x:c r="D32" s="17" t="n">
        <x:v>500</x:v>
      </x:c>
      <x:c r="E32" s="17" t="n">
        <x:v>250</x:v>
      </x:c>
      <x:c r="F32" s="6" t="str">
        <x:v>H · H: измерить, включая оплачиваемые скрытые токены, если есть.</x:v>
      </x:c>
    </x:row>
    <x:row r="33" ht="43" customHeight="1">
      <x:c r="A33" s="12" t="str">
        <x:v>Цена входных токенов</x:v>
      </x:c>
      <x:c r="B33" s="12" t="str">
        <x:v>₽/1 млн</x:v>
      </x:c>
      <x:c r="C33" s="20" t="n">
        <x:v>400</x:v>
      </x:c>
      <x:c r="D33" s="20" t="n">
        <x:v>200</x:v>
      </x:c>
      <x:c r="E33" s="20" t="n">
        <x:v>100</x:v>
      </x:c>
      <x:c r="F33" s="6" t="str">
        <x:v>H · H: НЕ тариф конкретного провайдера; заменить договорной ценой.</x:v>
      </x:c>
    </x:row>
    <x:row r="34" ht="43" customHeight="1">
      <x:c r="A34" s="12" t="str">
        <x:v>Цена выходных токенов</x:v>
      </x:c>
      <x:c r="B34" s="12" t="str">
        <x:v>₽/1 млн</x:v>
      </x:c>
      <x:c r="C34" s="20" t="n">
        <x:v>1600</x:v>
      </x:c>
      <x:c r="D34" s="20" t="n">
        <x:v>800</x:v>
      </x:c>
      <x:c r="E34" s="20" t="n">
        <x:v>400</x:v>
      </x:c>
      <x:c r="F34" s="6" t="str">
        <x:v>H · H: экономическая стоимость в RUB; не используется FX.</x:v>
      </x:c>
    </x:row>
    <x:row r="35" ht="43" customHeight="1">
      <x:c r="A35" s="12" t="str">
        <x:v>Среднее число оплачиваемых попыток</x:v>
      </x:c>
      <x:c r="B35" s="12" t="str">
        <x:v>раз</x:v>
      </x:c>
      <x:c r="C35" s="23" t="n">
        <x:v>1.4</x:v>
      </x:c>
      <x:c r="D35" s="23" t="n">
        <x:v>1.1</x:v>
      </x:c>
      <x:c r="E35" s="23" t="n">
        <x:v>1.02</x:v>
      </x:c>
      <x:c r="F35" s="6" t="str">
        <x:v>H · H: полный множитель повторов/ошибок; не биллится клиенту повторно.</x:v>
      </x:c>
    </x:row>
    <x:row r="36" ht="43" customHeight="1">
      <x:c r="A36" s="12" t="str">
        <x:v>Вычисления без LLM</x:v>
      </x:c>
      <x:c r="B36" s="12" t="str">
        <x:v>₽/заявку</x:v>
      </x:c>
      <x:c r="C36" s="26" t="n">
        <x:v>0.8</x:v>
      </x:c>
      <x:c r="D36" s="26" t="n">
        <x:v>0.2</x:v>
      </x:c>
      <x:c r="E36" s="26" t="n">
        <x:v>0.1</x:v>
      </x:c>
      <x:c r="F36" s="6" t="str">
        <x:v>H · H: только дополнительный compute; исключить уже покрытую базу.</x:v>
      </x:c>
    </x:row>
    <x:row r="37" ht="43" customHeight="1">
      <x:c r="A37" s="12" t="str">
        <x:v>Дополнительные записи/связи</x:v>
      </x:c>
      <x:c r="B37" s="12" t="str">
        <x:v>операций/заявку</x:v>
      </x:c>
      <x:c r="C37" s="20" t="n">
        <x:v>40</x:v>
      </x:c>
      <x:c r="D37" s="20" t="n">
        <x:v>20</x:v>
      </x:c>
      <x:c r="E37" s="20" t="n">
        <x:v>10</x:v>
      </x:c>
      <x:c r="F37" s="6" t="str">
        <x:v>H · H: среднее число инфраструктурных операций; НЕ единица оплаты.</x:v>
      </x:c>
    </x:row>
    <x:row r="38" ht="43" customHeight="1">
      <x:c r="A38" s="12" t="str">
        <x:v>Цена записи/связи</x:v>
      </x:c>
      <x:c r="B38" s="12" t="str">
        <x:v>₽/операцию</x:v>
      </x:c>
      <x:c r="C38" s="26" t="n">
        <x:v>0.015</x:v>
      </x:c>
      <x:c r="D38" s="26" t="n">
        <x:v>0.005</x:v>
      </x:c>
      <x:c r="E38" s="26" t="n">
        <x:v>0.002</x:v>
      </x:c>
      <x:c r="F38" s="6" t="str">
        <x:v>H · H: дополнительный ресурс, не пользовательский тариф MWS.</x:v>
      </x:c>
    </x:row>
    <x:row r="39" ht="43" customHeight="1">
      <x:c r="A39" s="12" t="str">
        <x:v>Хранение и сервис на аккаунт</x:v>
      </x:c>
      <x:c r="B39" s="12" t="str">
        <x:v>₽/мес.</x:v>
      </x:c>
      <x:c r="C39" s="20" t="n">
        <x:v>60</x:v>
      </x:c>
      <x:c r="D39" s="20" t="n">
        <x:v>20</x:v>
      </x:c>
      <x:c r="E39" s="20" t="n">
        <x:v>10</x:v>
      </x:c>
      <x:c r="F39" s="6" t="str">
        <x:v>H · H: сумма по пространствам одного договора; зависит от retention.</x:v>
      </x:c>
    </x:row>
    <x:row r="40" ht="43" customHeight="1">
      <x:c r="A40" s="12" t="str">
        <x:v>Базовая поддержка аккаунта</x:v>
      </x:c>
      <x:c r="B40" s="12" t="str">
        <x:v>мин./мес.</x:v>
      </x:c>
      <x:c r="C40" s="20" t="n">
        <x:v>20</x:v>
      </x:c>
      <x:c r="D40" s="20" t="n">
        <x:v>5</x:v>
      </x:c>
      <x:c r="E40" s="20" t="n">
        <x:v>2</x:v>
      </x:c>
      <x:c r="F40" s="6" t="str">
        <x:v>H · H: только поддержка фичи, не базового MWS.</x:v>
      </x:c>
    </x:row>
    <x:row r="41" ht="43" customHeight="1">
      <x:c r="A41" s="12" t="str">
        <x:v>Доп. поддержка на заявку</x:v>
      </x:c>
      <x:c r="B41" s="12" t="str">
        <x:v>мин./заявку</x:v>
      </x:c>
      <x:c r="C41" s="26" t="n">
        <x:v>0.05</x:v>
      </x:c>
      <x:c r="D41" s="26" t="n">
        <x:v>0.015</x:v>
      </x:c>
      <x:c r="E41" s="26" t="n">
        <x:v>0.005</x:v>
      </x:c>
      <x:c r="F41" s="6" t="str">
        <x:v>H · H: распределённые обращения; не ручной просмотр каждой заявки.</x:v>
      </x:c>
    </x:row>
    <x:row r="42" ht="43" customHeight="1">
      <x:c r="A42" s="12" t="str">
        <x:v>Полная стоимость поддержки MWS</x:v>
      </x:c>
      <x:c r="B42" s="12" t="str">
        <x:v>₽/час</x:v>
      </x:c>
      <x:c r="C42" s="17" t="n">
        <x:v>2000</x:v>
      </x:c>
      <x:c r="D42" s="17" t="n">
        <x:v>1500</x:v>
      </x:c>
      <x:c r="E42" s="17" t="n">
        <x:v>1200</x:v>
      </x:c>
      <x:c r="F42" s="6" t="str">
        <x:v>H · H: экономическая стоимость сотрудника.</x:v>
      </x:c>
    </x:row>
    <x:row r="43" ht="43" customHeight="1">
      <x:c r="A43" s="12" t="str">
        <x:v>Платёжная комиссия</x:v>
      </x:c>
      <x:c r="B43" s="12" t="str">
        <x:v>доля чека</x:v>
      </x:c>
      <x:c r="C43" s="15" t="n">
        <x:v>0.04</x:v>
      </x:c>
      <x:c r="D43" s="15" t="n">
        <x:v>0.03</x:v>
      </x:c>
      <x:c r="E43" s="15" t="n">
        <x:v>0.02</x:v>
      </x:c>
      <x:c r="F43" s="6" t="str">
        <x:v>H · H: с исходного чека, включая возвращённые платежи.</x:v>
      </x:c>
    </x:row>
    <x:row r="44" ht="43" customHeight="1">
      <x:c r="A44" s="12" t="str">
        <x:v>Ожидаемые инцидентные расходы</x:v>
      </x:c>
      <x:c r="B44" s="12" t="str">
        <x:v>₽/заявку</x:v>
      </x:c>
      <x:c r="C44" s="23" t="n">
        <x:v>0.5</x:v>
      </x:c>
      <x:c r="D44" s="23" t="n">
        <x:v>0.1</x:v>
      </x:c>
      <x:c r="E44" s="23" t="n">
        <x:v>0.02</x:v>
      </x:c>
      <x:c r="F44" s="6" t="str">
        <x:v>H · H: внутренние затраты инцидентов; не возврат выручки.</x:v>
      </x:c>
    </x:row>
    <x:row r="45" ht="27" customHeight="1">
      <x:c r="A45" s="2"/>
      <x:c r="B45" s="2"/>
      <x:c r="C45" s="2"/>
      <x:c r="D45" s="2"/>
      <x:c r="E45" s="2"/>
      <x:c r="F45" s="2"/>
    </x:row>
    <x:row r="46" ht="28" customHeight="1">
      <x:c r="A46" s="28" t="str">
        <x:v>03 · Монетизация, привлечение и продуктовый запуск</x:v>
      </x:c>
      <x:c r="B46" s="28"/>
      <x:c r="C46" s="28"/>
      <x:c r="D46" s="28"/>
      <x:c r="E46" s="28"/>
      <x:c r="F46" s="28"/>
    </x:row>
    <x:row r="47" ht="43" customHeight="1">
      <x:c r="A47" s="12" t="str">
        <x:v>Подписка на модуль</x:v>
      </x:c>
      <x:c r="B47" s="12" t="str">
        <x:v>₽/мес.</x:v>
      </x:c>
      <x:c r="C47" s="17" t="n">
        <x:v>1490</x:v>
      </x:c>
      <x:c r="D47" s="17" t="n">
        <x:v>2990</x:v>
      </x:c>
      <x:c r="E47" s="17" t="n">
        <x:v>4990</x:v>
      </x:c>
      <x:c r="F47" s="6" t="str">
        <x:v>H · H: тестовые цены; весь помощник, не только LLM.</x:v>
      </x:c>
    </x:row>
    <x:row r="48" ht="43" customHeight="1">
      <x:c r="A48" s="12" t="str">
        <x:v>Включено в модуль</x:v>
      </x:c>
      <x:c r="B48" s="12" t="str">
        <x:v>заявок/мес.</x:v>
      </x:c>
      <x:c r="C48" s="17" t="n">
        <x:v>200</x:v>
      </x:c>
      <x:c r="D48" s="17" t="n">
        <x:v>200</x:v>
      </x:c>
      <x:c r="E48" s="17" t="n">
        <x:v>200</x:v>
      </x:c>
      <x:c r="F48" s="6" t="str">
        <x:v>H · H: месячная квота; повторы той же версии не списываются.</x:v>
      </x:c>
    </x:row>
    <x:row r="49" ht="43" customHeight="1">
      <x:c r="A49" s="12" t="str">
        <x:v>Сверх включённого объёма</x:v>
      </x:c>
      <x:c r="B49" s="12" t="str">
        <x:v>₽/заявку</x:v>
      </x:c>
      <x:c r="C49" s="20" t="n">
        <x:v>15</x:v>
      </x:c>
      <x:c r="D49" s="20" t="n">
        <x:v>15</x:v>
      </x:c>
      <x:c r="E49" s="20" t="n">
        <x:v>15</x:v>
      </x:c>
      <x:c r="F49" s="6" t="str">
        <x:v>H · H: дополнительная уникальная подготовка; только по согласию.</x:v>
      </x:c>
    </x:row>
    <x:row r="50" ht="43" customHeight="1">
      <x:c r="A50" s="12" t="str">
        <x:v>Чистый pay-as-you-go</x:v>
      </x:c>
      <x:c r="B50" s="12" t="str">
        <x:v>₽/заявку</x:v>
      </x:c>
      <x:c r="C50" s="20" t="n">
        <x:v>20</x:v>
      </x:c>
      <x:c r="D50" s="20" t="n">
        <x:v>20</x:v>
      </x:c>
      <x:c r="E50" s="20" t="n">
        <x:v>20</x:v>
      </x:c>
      <x:c r="F50" s="6" t="str">
        <x:v>H · H: альтернатива без абонплаты, а не доплата к строке 47.</x:v>
      </x:c>
    </x:row>
    <x:row r="51" ht="43" customHeight="1">
      <x:c r="A51" s="12" t="str">
        <x:v>Стоимость продажи модуля</x:v>
      </x:c>
      <x:c r="B51" s="12" t="str">
        <x:v>₽/нов. клиента</x:v>
      </x:c>
      <x:c r="C51" s="17" t="n">
        <x:v>5000</x:v>
      </x:c>
      <x:c r="D51" s="17" t="n">
        <x:v>3000</x:v>
      </x:c>
      <x:c r="E51" s="17" t="n">
        <x:v>1500</x:v>
      </x:c>
      <x:c r="F51" s="6" t="str">
        <x:v>H · H: expansion CAC для текущего клиента, не полный CAC MWS.</x:v>
      </x:c>
    </x:row>
    <x:row r="52" ht="43" customHeight="1">
      <x:c r="A52" s="12" t="str">
        <x:v>Онбординг со стороны MWS</x:v>
      </x:c>
      <x:c r="B52" s="12" t="str">
        <x:v>мин./нов. клиента</x:v>
      </x:c>
      <x:c r="C52" s="17" t="n">
        <x:v>90</x:v>
      </x:c>
      <x:c r="D52" s="17" t="n">
        <x:v>45</x:v>
      </x:c>
      <x:c r="E52" s="17" t="n">
        <x:v>20</x:v>
      </x:c>
      <x:c r="F52" s="6" t="str">
        <x:v>H · H: учитывается отдельно от CAC и текущей поддержки.</x:v>
      </x:c>
    </x:row>
    <x:row r="53" ht="43" customHeight="1">
      <x:c r="A53" s="12" t="str">
        <x:v>Месячный отток модуля</x:v>
      </x:c>
      <x:c r="B53" s="12" t="str">
        <x:v>доля</x:v>
      </x:c>
      <x:c r="C53" s="15" t="n">
        <x:v>0.06</x:v>
      </x:c>
      <x:c r="D53" s="15" t="n">
        <x:v>0.03</x:v>
      </x:c>
      <x:c r="E53" s="15" t="n">
        <x:v>0.01</x:v>
      </x:c>
      <x:c r="F53" s="6" t="str">
        <x:v>H · H: месячная подписка модуля; НЕ churn годового Unlimit.</x:v>
      </x:c>
    </x:row>
    <x:row r="54" ht="43" customHeight="1">
      <x:c r="A54" s="12" t="str">
        <x:v>Постоянные расходы фичи</x:v>
      </x:c>
      <x:c r="B54" s="12" t="str">
        <x:v>₽/мес.</x:v>
      </x:c>
      <x:c r="C54" s="17" t="n">
        <x:v>60000</x:v>
      </x:c>
      <x:c r="D54" s="17" t="n">
        <x:v>40000</x:v>
      </x:c>
      <x:c r="E54" s="17" t="n">
        <x:v>20000</x:v>
      </x:c>
      <x:c r="F54" s="6" t="str">
        <x:v>H · H: сопровождение/QA/продукт; без поддержки из строк 40–42.</x:v>
      </x:c>
    </x:row>
    <x:row r="55" ht="43" customHeight="1">
      <x:c r="A55" s="12" t="str">
        <x:v>Разовые затраты на продуктовый запуск</x:v>
      </x:c>
      <x:c r="B55" s="12" t="str">
        <x:v>₽</x:v>
      </x:c>
      <x:c r="C55" s="17" t="n">
        <x:v>1800000</x:v>
      </x:c>
      <x:c r="D55" s="17" t="n">
        <x:v>1200000</x:v>
      </x:c>
      <x:c r="E55" s="17" t="n">
        <x:v>600000</x:v>
      </x:c>
      <x:c r="F55" s="6" t="str">
        <x:v>H · H: R&amp;D, безопасность, биллинг, QA; НЕ бюджет хакатонного виджета.</x:v>
      </x:c>
    </x:row>
    <x:row r="56" ht="43" customHeight="1">
      <x:c r="A56" s="12" t="str">
        <x:v>Новые подключения модуля</x:v>
      </x:c>
      <x:c r="B56" s="12" t="str">
        <x:v>клиентов/мес.</x:v>
      </x:c>
      <x:c r="C56" s="17" t="n">
        <x:v>5</x:v>
      </x:c>
      <x:c r="D56" s="17" t="n">
        <x:v>15</x:v>
      </x:c>
      <x:c r="E56" s="17" t="n">
        <x:v>30</x:v>
      </x:c>
      <x:c r="F56" s="6" t="str">
        <x:v>H · H: равномерный поток, не прогноз продаж и не TAM.</x:v>
      </x:c>
    </x:row>
    <x:row r="57" ht="43" customHeight="1">
      <x:c r="A57" s="12" t="str">
        <x:v>Платят за модуль на старте</x:v>
      </x:c>
      <x:c r="B57" s="12" t="str">
        <x:v>клиентов</x:v>
      </x:c>
      <x:c r="C57" s="17" t="n">
        <x:v>0</x:v>
      </x:c>
      <x:c r="D57" s="17" t="n">
        <x:v>0</x:v>
      </x:c>
      <x:c r="E57" s="17" t="n">
        <x:v>0</x:v>
      </x:c>
      <x:c r="F57" s="6" t="str">
        <x:v>H · H: действующие подписки, если модель используют после запуска.</x:v>
      </x:c>
    </x:row>
    <x:row r="58" ht="43" customHeight="1">
      <x:c r="A58" s="12" t="str">
        <x:v>Действующие платные аккаунты MWS</x:v>
      </x:c>
      <x:c r="B58" s="12" t="str">
        <x:v>аккаунтов</x:v>
      </x:c>
      <x:c r="C58" s="17" t="n">
        <x:v>1000</x:v>
      </x:c>
      <x:c r="D58" s="17" t="n">
        <x:v>1000</x:v>
      </x:c>
      <x:c r="E58" s="17" t="n">
        <x:v>1000</x:v>
      </x:c>
      <x:c r="F58" s="6" t="str">
        <x:v>H · H: условная база для bundle, не реальные данные MWS.</x:v>
      </x:c>
    </x:row>
    <x:row r="59" ht="43" customHeight="1">
      <x:c r="A59" s="12" t="str">
        <x:v>Активно используют фичу в bundle</x:v>
      </x:c>
      <x:c r="B59" s="12" t="str">
        <x:v>доля базы</x:v>
      </x:c>
      <x:c r="C59" s="15" t="n">
        <x:v>0.3</x:v>
      </x:c>
      <x:c r="D59" s="15" t="n">
        <x:v>0.2</x:v>
      </x:c>
      <x:c r="E59" s="15" t="n">
        <x:v>0.1</x:v>
      </x:c>
      <x:c r="F59" s="6" t="str">
        <x:v>H · H: стоимость несут все активные, а выручка не вся дополнительная.</x:v>
      </x:c>
    </x:row>
    <x:row r="60" ht="43" customHeight="1">
      <x:c r="A60" s="12" t="str">
        <x:v>Доп. активные платные из-за фичи</x:v>
      </x:c>
      <x:c r="B60" s="12" t="str">
        <x:v>аккаунтов</x:v>
      </x:c>
      <x:c r="C60" s="17" t="n">
        <x:v>10</x:v>
      </x:c>
      <x:c r="D60" s="17" t="n">
        <x:v>50</x:v>
      </x:c>
      <x:c r="E60" s="17" t="n">
        <x:v>150</x:v>
      </x:c>
      <x:c r="F60" s="6" t="str">
        <x:v>H · H: запас активных за месяц, НЕ новые продажи каждый месяц.</x:v>
      </x:c>
    </x:row>
    <x:row r="61" ht="43" customHeight="1">
      <x:c r="A61" s="12" t="str">
        <x:v>Активные бесплатные пробы</x:v>
      </x:c>
      <x:c r="B61" s="12" t="str">
        <x:v>аккаунтов/мес.</x:v>
      </x:c>
      <x:c r="C61" s="17" t="n">
        <x:v>100</x:v>
      </x:c>
      <x:c r="D61" s="17" t="n">
        <x:v>100</x:v>
      </x:c>
      <x:c r="E61" s="17" t="n">
        <x:v>100</x:v>
      </x:c>
      <x:c r="F61" s="6" t="str">
        <x:v>H · H: только bundle; бюджет демо не входит в модель add-on.</x:v>
      </x:c>
    </x:row>
    <x:row r="62" ht="43" customHeight="1">
      <x:c r="A62" s="12" t="str">
        <x:v>Объём на бесплатную пробу</x:v>
      </x:c>
      <x:c r="B62" s="12" t="str">
        <x:v>заявок/мес.</x:v>
      </x:c>
      <x:c r="C62" s="17" t="n">
        <x:v>20</x:v>
      </x:c>
      <x:c r="D62" s="17" t="n">
        <x:v>20</x:v>
      </x:c>
      <x:c r="E62" s="17" t="n">
        <x:v>20</x:v>
      </x:c>
      <x:c r="F62" s="6" t="str">
        <x:v>H · H: полный дополнительный COGS, отдельный от платного потока.</x:v>
      </x:c>
    </x:row>
    <x:row r="63" ht="43" customHeight="1">
      <x:c r="A63" s="12" t="str">
        <x:v>Поддержка одной бесплатной пробы</x:v>
      </x:c>
      <x:c r="B63" s="12" t="str">
        <x:v>мин./мес.</x:v>
      </x:c>
      <x:c r="C63" s="20" t="n">
        <x:v>2</x:v>
      </x:c>
      <x:c r="D63" s="20" t="n">
        <x:v>2</x:v>
      </x:c>
      <x:c r="E63" s="20" t="n">
        <x:v>2</x:v>
      </x:c>
      <x:c r="F63" s="6" t="str">
        <x:v>H · H: суммарные минуты; не складывать с поддержкой платного аккаунта.</x:v>
      </x:c>
    </x:row>
    <x:row r="64" ht="43" customHeight="1">
      <x:c r="A64" s="12" t="str">
        <x:v>Долю стоимости LLM платит клиент</x:v>
      </x:c>
      <x:c r="B64" s="12" t="str">
        <x:v>доля BYOK</x:v>
      </x:c>
      <x:c r="C64" s="15" t="n">
        <x:v>0</x:v>
      </x:c>
      <x:c r="D64" s="15" t="n">
        <x:v>0</x:v>
      </x:c>
      <x:c r="E64" s="15" t="n">
        <x:v>0</x:v>
      </x:c>
      <x:c r="F64" s="6" t="str">
        <x:v>H · H: 1 = свой API-ключ клиента; стоимость переносится, не исчезает.</x:v>
      </x:c>
    </x:row>
    <x:row r="65" ht="43" customHeight="1">
      <x:c r="A65" s="12" t="str">
        <x:v>Возвраты / неполученная выручка</x:v>
      </x:c>
      <x:c r="B65" s="12" t="str">
        <x:v>доля чека</x:v>
      </x:c>
      <x:c r="C65" s="15" t="n">
        <x:v>0.02</x:v>
      </x:c>
      <x:c r="D65" s="15" t="n">
        <x:v>0.01</x:v>
      </x:c>
      <x:c r="E65" s="15" t="n">
        <x:v>0</x:v>
      </x:c>
      <x:c r="F65" s="6" t="str">
        <x:v>H · H: сокращают доход модуля; без дублирования в инцидентных расходах.</x:v>
      </x:c>
    </x:row>
    <x:row r="66" ht="27" customHeight="1">
      <x:c r="A66" s="2"/>
      <x:c r="B66" s="2"/>
      <x:c r="C66" s="2"/>
      <x:c r="D66" s="2"/>
      <x:c r="E66" s="2"/>
      <x:c r="F66" s="2"/>
    </x:row>
    <x:row r="67" ht="44" customHeight="1">
      <x:c r="A67" s="30" t="str">
        <x:v>Сценарии — наборы допущений, а не доверительные интервалы. Неизвестные величины не подтверждены тарифами или интервью. «0 налога» требует замены после уточнения договора.</x:v>
      </x:c>
      <x:c r="B67" s="30"/>
      <x:c r="C67" s="30"/>
      <x:c r="D67" s="30"/>
      <x:c r="E67" s="30"/>
      <x:c r="F67" s="30"/>
    </x:row>
    <x:row r="68" ht="27" customHeight="1">
      <x:c r="A68" s="2"/>
      <x:c r="B68" s="2"/>
      <x:c r="C68" s="2"/>
      <x:c r="D68" s="2"/>
      <x:c r="E68" s="2"/>
      <x:c r="F68" s="2"/>
    </x:row>
  </x:sheetData>
  <x:mergeCells>
    <x:mergeCell ref="A1:F1"/>
    <x:mergeCell ref="A2:F2"/>
    <x:mergeCell ref="A15:F15"/>
    <x:mergeCell ref="A28:F28"/>
    <x:mergeCell ref="A46:F46"/>
    <x:mergeCell ref="A67:F67"/>
  </x:mergeCells>
  <x:dataValidations count="14">
    <x:dataValidation type="decimal" operator="between" sqref="C10:E10">
      <x:formula1>0</x:formula1>
      <x:formula2>1</x:formula2>
    </x:dataValidation>
    <x:dataValidation type="decimal" operator="between" sqref="C11:E11">
      <x:formula1>0</x:formula1>
      <x:formula2>1</x:formula2>
    </x:dataValidation>
    <x:dataValidation type="decimal" operator="between" sqref="C12:E12">
      <x:formula1>0</x:formula1>
      <x:formula2>1</x:formula2>
    </x:dataValidation>
    <x:dataValidation type="decimal" operator="between" sqref="C19:E19">
      <x:formula1>0</x:formula1>
      <x:formula2>1</x:formula2>
    </x:dataValidation>
    <x:dataValidation type="decimal" operator="between" sqref="C20:E20">
      <x:formula1>0</x:formula1>
      <x:formula2>1</x:formula2>
    </x:dataValidation>
    <x:dataValidation type="decimal" operator="between" sqref="C23:E23">
      <x:formula1>0</x:formula1>
      <x:formula2>1</x:formula2>
    </x:dataValidation>
    <x:dataValidation type="decimal" operator="between" sqref="C30:E30">
      <x:formula1>0</x:formula1>
      <x:formula2>1</x:formula2>
    </x:dataValidation>
    <x:dataValidation type="decimal" operator="between" sqref="C43:E43">
      <x:formula1>0</x:formula1>
      <x:formula2>1</x:formula2>
    </x:dataValidation>
    <x:dataValidation type="decimal" operator="between" sqref="C53:E53">
      <x:formula1>0</x:formula1>
      <x:formula2>1</x:formula2>
    </x:dataValidation>
    <x:dataValidation type="decimal" operator="between" sqref="C59:E59">
      <x:formula1>0</x:formula1>
      <x:formula2>1</x:formula2>
    </x:dataValidation>
    <x:dataValidation type="decimal" operator="between" sqref="C64:E64">
      <x:formula1>0</x:formula1>
      <x:formula2>1</x:formula2>
    </x:dataValidation>
    <x:dataValidation type="decimal" operator="between" sqref="C65:E65">
      <x:formula1>0</x:formula1>
      <x:formula2>1</x:formula2>
    </x:dataValidation>
    <x:dataValidation type="list" sqref="C24:E24">
      <x:formula1>"0,1"</x:formula1>
    </x:dataValidation>
    <x:dataValidation type="list" sqref="C29:E29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861aa545d547415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57" hidden="0" customWidth="1"/>
  </x:cols>
  <x:sheetData>
    <x:row r="1" ht="44" customHeight="1">
      <x:c r="A1" s="4" t="str">
        <x:v>Экономика MWS · добавочный вклад</x:v>
      </x:c>
      <x:c r="B1" s="4"/>
      <x:c r="C1" s="4"/>
      <x:c r="D1" s="4"/>
      <x:c r="E1" s="4"/>
      <x:c r="F1" s="4"/>
    </x:row>
    <x:row r="2" ht="35" customHeight="1">
      <x:c r="A2" s="6" t="str">
        <x:v>Юнит: один платящий аккаунт / договор в месяц, пул заявок его пространств. A/B/C — альтернативы, не сумма.</x:v>
      </x:c>
      <x:c r="B2" s="6"/>
      <x:c r="C2" s="6"/>
      <x:c r="D2" s="6"/>
      <x:c r="E2" s="6"/>
      <x:c r="F2" s="6"/>
    </x:row>
    <x:row r="3" ht="27" customHeight="1">
      <x:c r="A3" s="2"/>
      <x:c r="B3" s="2"/>
      <x:c r="C3" s="2"/>
      <x:c r="D3" s="2"/>
      <x:c r="E3" s="2"/>
      <x:c r="F3" s="2"/>
    </x:row>
    <x:row r="4" ht="30" customHeight="1">
      <x:c r="A4" s="8" t="str">
        <x:v>Показатель</x:v>
      </x:c>
      <x:c r="B4" s="8" t="str">
        <x:v>Единица</x:v>
      </x:c>
      <x:c r="C4" s="8" t="str">
        <x:v>Стресс</x:v>
      </x:c>
      <x:c r="D4" s="8" t="str">
        <x:v>Базовый</x:v>
      </x:c>
      <x:c r="E4" s="8" t="str">
        <x:v>Эффективный</x:v>
      </x:c>
      <x:c r="F4" s="8" t="str">
        <x:v>Пояснение</x:v>
      </x:c>
    </x:row>
    <x:row r="5" ht="38" customHeight="1">
      <x:c r="A5" s="12" t="str">
        <x:v>Текущий пакет: месячный эквивалент</x:v>
      </x:c>
      <x:c r="B5" s="2" t="str">
        <x:v>₽/мес.</x:v>
      </x:c>
      <x:c r="C5" s="9" t="n">
        <x:f>'Допущения'!C8/'Допущения'!C5</x:f>
        <x:v>1920</x:v>
      </x:c>
      <x:c r="D5" s="9" t="n">
        <x:f>'Допущения'!D8/'Допущения'!D5</x:f>
        <x:v>1920</x:v>
      </x:c>
      <x:c r="E5" s="9" t="n">
        <x:f>'Допущения'!E8/'Допущения'!E5</x:f>
        <x:v>1920</x:v>
      </x:c>
      <x:c r="F5" s="6" t="str">
        <x:v>Это не подтверждение доступности помесячной оплаты.</x:v>
      </x:c>
    </x:row>
    <x:row r="6" ht="38" customHeight="1">
      <x:c r="A6" s="12" t="str">
        <x:v>Базовая выручка без налога</x:v>
      </x:c>
      <x:c r="B6" s="2" t="str">
        <x:v>₽/мес.</x:v>
      </x:c>
      <x:c r="C6" s="9" t="n">
        <x:f>C5/(1+'Допущения'!C10)</x:f>
        <x:v>1920</x:v>
      </x:c>
      <x:c r="D6" s="9" t="n">
        <x:f>D5/(1+'Допущения'!D10)</x:f>
        <x:v>1920</x:v>
      </x:c>
      <x:c r="E6" s="9" t="n">
        <x:f>E5/(1+'Допущения'!E10)</x:f>
        <x:v>1920</x:v>
      </x:c>
      <x:c r="F6" s="6" t="str"/>
    </x:row>
    <x:row r="7" ht="38" customHeight="1">
      <x:c r="A7" s="12" t="str">
        <x:v>Вклад базы до затрат фичи</x:v>
      </x:c>
      <x:c r="B7" s="2" t="str">
        <x:v>₽/мес.</x:v>
      </x:c>
      <x:c r="C7" s="9" t="n">
        <x:f>C6*'Допущения'!C11</x:f>
        <x:v>1344</x:v>
      </x:c>
      <x:c r="D7" s="9" t="n">
        <x:f>D6*'Допущения'!D11</x:f>
        <x:v>1536</x:v>
      </x:c>
      <x:c r="E7" s="9" t="n">
        <x:f>E6*'Допущения'!E11</x:f>
        <x:v>1632</x:v>
      </x:c>
      <x:c r="F7" s="6" t="str">
        <x:v>Используется только для действительно дополнительных клиентов.</x:v>
      </x:c>
    </x:row>
    <x:row r="8" ht="27" customHeight="1">
      <x:c r="A8" s="2"/>
      <x:c r="B8" s="2"/>
      <x:c r="C8" s="2"/>
      <x:c r="D8" s="2"/>
      <x:c r="E8" s="2"/>
      <x:c r="F8" s="2"/>
    </x:row>
    <x:row r="9" ht="38" customHeight="1">
      <x:c r="A9" s="12" t="str">
        <x:v>Фактически обрабатывается</x:v>
      </x:c>
      <x:c r="B9" s="2" t="str">
        <x:v>заявок/мес.</x:v>
      </x:c>
      <x:c r="C9" s="18" t="n">
        <x:f>'Допущения'!C16*'Допущения'!C19</x:f>
        <x:v>120</x:v>
      </x:c>
      <x:c r="D9" s="18" t="n">
        <x:f>'Допущения'!D16*'Допущения'!D19</x:f>
        <x:v>160</x:v>
      </x:c>
      <x:c r="E9" s="18" t="n">
        <x:f>'Допущения'!E16*'Допущения'!E19</x:f>
        <x:v>200</x:v>
      </x:c>
      <x:c r="F9" s="6" t="str">
        <x:v>Уникальные версии заявок; не число повторных запусков.</x:v>
      </x:c>
    </x:row>
    <x:row r="10" ht="38" customHeight="1">
      <x:c r="A10" s="12" t="str">
        <x:v>LLM: стоимость с повторами</x:v>
      </x:c>
      <x:c r="B10" s="2" t="str">
        <x:v>₽/LLM-случай</x:v>
      </x:c>
      <x:c r="C10" s="24" t="n">
        <x:f>('Допущения'!C31*'Допущения'!C33+'Допущения'!C32*'Допущения'!C34)/'Допущения'!C7*'Допущения'!C35</x:f>
        <x:v>4.592</x:v>
      </x:c>
      <x:c r="D10" s="24" t="n">
        <x:f>('Допущения'!D31*'Допущения'!D33+'Допущения'!D32*'Допущения'!D34)/'Допущения'!D7*'Допущения'!D35</x:f>
        <x:v>1.1</x:v>
      </x:c>
      <x:c r="E10" s="24" t="n">
        <x:f>('Допущения'!E31*'Допущения'!E33+'Допущения'!E32*'Допущения'!E34)/'Допущения'!E7*'Допущения'!E35</x:f>
        <x:v>0.255</x:v>
      </x:c>
      <x:c r="F10" s="6" t="str">
        <x:v>Вход + выход + оплачиваемые повторы.</x:v>
      </x:c>
    </x:row>
    <x:row r="11" ht="38" customHeight="1">
      <x:c r="A11" s="12" t="str">
        <x:v>LLM: средняя стоимость по потоку</x:v>
      </x:c>
      <x:c r="B11" s="2" t="str">
        <x:v>₽/заявку</x:v>
      </x:c>
      <x:c r="C11" s="24" t="n">
        <x:f>C10*'Допущения'!C29*'Допущения'!C30</x:f>
        <x:v>2.7552</x:v>
      </x:c>
      <x:c r="D11" s="24" t="n">
        <x:f>D10*'Допущения'!D29*'Допущения'!D30</x:f>
        <x:v>0.275</x:v>
      </x:c>
      <x:c r="E11" s="24" t="n">
        <x:f>E10*'Допущения'!E29*'Допущения'!E30</x:f>
        <x:v>0.025500000000000002</x:v>
      </x:c>
      <x:c r="F11" s="6" t="str">
        <x:v>До разделения плательщика MWS / клиент.</x:v>
      </x:c>
    </x:row>
    <x:row r="12" ht="38" customHeight="1">
      <x:c r="A12" s="12" t="str">
        <x:v>Не-LLM переменные расходы</x:v>
      </x:c>
      <x:c r="B12" s="2" t="str">
        <x:v>₽/заявку</x:v>
      </x:c>
      <x:c r="C12" s="24" t="n">
        <x:f>'Допущения'!C36+'Допущения'!C37*'Допущения'!C38+'Допущения'!C44</x:f>
        <x:v>1.9</x:v>
      </x:c>
      <x:c r="D12" s="24" t="n">
        <x:f>'Допущения'!D36+'Допущения'!D37*'Допущения'!D38+'Допущения'!D44</x:f>
        <x:v>0.4</x:v>
      </x:c>
      <x:c r="E12" s="24" t="n">
        <x:f>'Допущения'!E36+'Допущения'!E37*'Допущения'!E38+'Допущения'!E44</x:f>
        <x:v>0.14</x:v>
      </x:c>
      <x:c r="F12" s="6" t="str">
        <x:v>Compute + записи/связи + внутренние инцидентные расходы.</x:v>
      </x:c>
    </x:row>
    <x:row r="13" ht="38" customHeight="1">
      <x:c r="A13" s="12" t="str">
        <x:v>Технологические затраты MWS</x:v>
      </x:c>
      <x:c r="B13" s="2" t="str">
        <x:v>₽/заявку</x:v>
      </x:c>
      <x:c r="C13" s="24" t="n">
        <x:f>C12+C11*(1-'Допущения'!C64)</x:f>
        <x:v>4.6552</x:v>
      </x:c>
      <x:c r="D13" s="24" t="n">
        <x:f>D12+D11*(1-'Допущения'!D64)</x:f>
        <x:v>0.675</x:v>
      </x:c>
      <x:c r="E13" s="24" t="n">
        <x:f>E12+E11*(1-'Допущения'!E64)</x:f>
        <x:v>0.1655</x:v>
      </x:c>
      <x:c r="F13" s="6" t="str">
        <x:v>LLM оплачивает MWS только в соответствующей доле.</x:v>
      </x:c>
    </x:row>
    <x:row r="14" ht="38" customHeight="1">
      <x:c r="A14" s="12" t="str">
        <x:v>Поддержка: фиксированная часть</x:v>
      </x:c>
      <x:c r="B14" s="2" t="str">
        <x:v>₽/мес.</x:v>
      </x:c>
      <x:c r="C14" s="18" t="n">
        <x:f>'Допущения'!C40/'Допущения'!C6*'Допущения'!C42</x:f>
        <x:v>666.6666666666666</x:v>
      </x:c>
      <x:c r="D14" s="18" t="n">
        <x:f>'Допущения'!D40/'Допущения'!D6*'Допущения'!D42</x:f>
        <x:v>125</x:v>
      </x:c>
      <x:c r="E14" s="18" t="n">
        <x:f>'Допущения'!E40/'Допущения'!E6*'Допущения'!E42</x:f>
        <x:v>40</x:v>
      </x:c>
      <x:c r="F14" s="6" t="str">
        <x:v>На один активный платящий аккаунт.</x:v>
      </x:c>
    </x:row>
    <x:row r="15" ht="38" customHeight="1">
      <x:c r="A15" s="12" t="str">
        <x:v>Поддержка: переменная часть</x:v>
      </x:c>
      <x:c r="B15" s="2" t="str">
        <x:v>₽/заявку</x:v>
      </x:c>
      <x:c r="C15" s="24" t="n">
        <x:f>'Допущения'!C41/'Допущения'!C6*'Допущения'!C42</x:f>
        <x:v>1.6666666666666667</x:v>
      </x:c>
      <x:c r="D15" s="24" t="n">
        <x:f>'Допущения'!D41/'Допущения'!D6*'Допущения'!D42</x:f>
        <x:v>0.375</x:v>
      </x:c>
      <x:c r="E15" s="24" t="n">
        <x:f>'Допущения'!E41/'Допущения'!E6*'Допущения'!E42</x:f>
        <x:v>0.09999999999999999</x:v>
      </x:c>
      <x:c r="F15" s="6" t="str">
        <x:v>Пропорционально обработанному потоку.</x:v>
      </x:c>
    </x:row>
    <x:row r="16" ht="38" customHeight="1">
      <x:c r="A16" s="12" t="str">
        <x:v>Фиксированный COGS аккаунта</x:v>
      </x:c>
      <x:c r="B16" s="2" t="str">
        <x:v>₽/мес.</x:v>
      </x:c>
      <x:c r="C16" s="18" t="n">
        <x:f>'Допущения'!C39+C14</x:f>
        <x:v>726.6666666666666</x:v>
      </x:c>
      <x:c r="D16" s="18" t="n">
        <x:f>'Допущения'!D39+D14</x:f>
        <x:v>145</x:v>
      </x:c>
      <x:c r="E16" s="18" t="n">
        <x:f>'Допущения'!E39+E14</x:f>
        <x:v>50</x:v>
      </x:c>
      <x:c r="F16" s="6" t="str">
        <x:v>Инфраструктура и фиксированная поддержка всех его пространств.</x:v>
      </x:c>
    </x:row>
    <x:row r="17" ht="38" customHeight="1">
      <x:c r="A17" s="12" t="str">
        <x:v>Полный переменный COGS MWS</x:v>
      </x:c>
      <x:c r="B17" s="2" t="str">
        <x:v>₽/заявку</x:v>
      </x:c>
      <x:c r="C17" s="24" t="n">
        <x:f>C13+C15</x:f>
        <x:v>6.321866666666667</x:v>
      </x:c>
      <x:c r="D17" s="24" t="n">
        <x:f>D13+D15</x:f>
        <x:v>1.05</x:v>
      </x:c>
      <x:c r="E17" s="24" t="n">
        <x:f>E13+E15</x:f>
        <x:v>0.2655</x:v>
      </x:c>
      <x:c r="F17" s="6" t="str">
        <x:v>Техническая обработка + переменная поддержка.</x:v>
      </x:c>
    </x:row>
    <x:row r="18" ht="38" customHeight="1">
      <x:c r="A18" s="12" t="str">
        <x:v>COGS всего помощника</x:v>
      </x:c>
      <x:c r="B18" s="2" t="str">
        <x:v>₽/аккаунт/мес.</x:v>
      </x:c>
      <x:c r="C18" s="18" t="n">
        <x:f>C16+C9*C17</x:f>
        <x:v>1485.2906666666668</x:v>
      </x:c>
      <x:c r="D18" s="18" t="n">
        <x:f>D16+D9*D17</x:f>
        <x:v>313</x:v>
      </x:c>
      <x:c r="E18" s="18" t="n">
        <x:f>E16+E9*E17</x:f>
        <x:v>103.1</x:v>
      </x:c>
      <x:c r="F18" s="6" t="str">
        <x:v>Без комиссии платежа, продаж, R&amp;D и постоянного Opex.</x:v>
      </x:c>
    </x:row>
    <x:row r="19" ht="38" customHeight="1">
      <x:c r="A19" s="12" t="str">
        <x:v>Прямой счёт LLM клиенту (BYOK)</x:v>
      </x:c>
      <x:c r="B19" s="2" t="str">
        <x:v>₽/мес.</x:v>
      </x:c>
      <x:c r="C19" s="18" t="n">
        <x:f>C9*C11*'Допущения'!C64</x:f>
        <x:v>0</x:v>
      </x:c>
      <x:c r="D19" s="18" t="n">
        <x:f>D9*D11*'Допущения'!D64</x:f>
        <x:v>0</x:v>
      </x:c>
      <x:c r="E19" s="18" t="n">
        <x:f>E9*E11*'Допущения'!E64</x:f>
        <x:v>0</x:v>
      </x:c>
      <x:c r="F19" s="6" t="str">
        <x:v>Не выручка MWS; входит в стоимость клиента.</x:v>
      </x:c>
    </x:row>
    <x:row r="20" ht="27" customHeight="1">
      <x:c r="A20" s="2"/>
      <x:c r="B20" s="2"/>
      <x:c r="C20" s="2"/>
      <x:c r="D20" s="2"/>
      <x:c r="E20" s="2"/>
      <x:c r="F20" s="2"/>
    </x:row>
    <x:row r="21" ht="28" customHeight="1">
      <x:c r="A21" s="28" t="str">
        <x:v>B · Модуль: подписка с квотой + доплата за объём</x:v>
      </x:c>
      <x:c r="B21" s="28"/>
      <x:c r="C21" s="28"/>
      <x:c r="D21" s="28"/>
      <x:c r="E21" s="28"/>
      <x:c r="F21" s="28"/>
    </x:row>
    <x:row r="22" ht="38" customHeight="1">
      <x:c r="A22" s="12" t="str">
        <x:v>Чек модуля до возвратов</x:v>
      </x:c>
      <x:c r="B22" s="2" t="str">
        <x:v>₽/мес.</x:v>
      </x:c>
      <x:c r="C22" s="9" t="n">
        <x:f>'Допущения'!C47+MAX(0,C9-'Допущения'!C48)*'Допущения'!C49</x:f>
        <x:v>1490</x:v>
      </x:c>
      <x:c r="D22" s="9" t="n">
        <x:f>'Допущения'!D47+MAX(0,D9-'Допущения'!D48)*'Допущения'!D49</x:f>
        <x:v>2990</x:v>
      </x:c>
      <x:c r="E22" s="9" t="n">
        <x:f>'Допущения'!E47+MAX(0,E9-'Допущения'!E48)*'Допущения'!E49</x:f>
        <x:v>4990</x:v>
      </x:c>
      <x:c r="F22" s="6" t="str">
        <x:v>Доплата к текущему Unlimit.</x:v>
      </x:c>
    </x:row>
    <x:row r="23" ht="38" customHeight="1">
      <x:c r="A23" s="12" t="str">
        <x:v>Выручка модуля без налога</x:v>
      </x:c>
      <x:c r="B23" s="2" t="str">
        <x:v>₽/мес.</x:v>
      </x:c>
      <x:c r="C23" s="9" t="n">
        <x:f>C22*(1-'Допущения'!C65)/(1+'Допущения'!C10)</x:f>
        <x:v>1460.2</x:v>
      </x:c>
      <x:c r="D23" s="9" t="n">
        <x:f>D22*(1-'Допущения'!D65)/(1+'Допущения'!D10)</x:f>
        <x:v>2960.1</x:v>
      </x:c>
      <x:c r="E23" s="9" t="n">
        <x:f>E22*(1-'Допущения'!E65)/(1+'Допущения'!E10)</x:f>
        <x:v>4990</x:v>
      </x:c>
      <x:c r="F23" s="6" t="str">
        <x:v>С учётом возвратов/неполученных платежей.</x:v>
      </x:c>
    </x:row>
    <x:row r="24" ht="38" customHeight="1">
      <x:c r="A24" s="12" t="str">
        <x:v>Комиссии приёма платежей</x:v>
      </x:c>
      <x:c r="B24" s="2" t="str">
        <x:v>₽/мес.</x:v>
      </x:c>
      <x:c r="C24" s="9" t="n">
        <x:f>C22*'Допущения'!C43</x:f>
        <x:v>59.6</x:v>
      </x:c>
      <x:c r="D24" s="9" t="n">
        <x:f>D22*'Допущения'!D43</x:f>
        <x:v>89.7</x:v>
      </x:c>
      <x:c r="E24" s="9" t="n">
        <x:f>E22*'Допущения'!E43</x:f>
        <x:v>99.8</x:v>
      </x:c>
      <x:c r="F24" s="6" t="str">
        <x:v>Консервативно с исходного чека.</x:v>
      </x:c>
    </x:row>
    <x:row r="25" ht="38" customHeight="1">
      <x:c r="A25" s="12" t="str">
        <x:v>Маржинальный вклад модуля</x:v>
      </x:c>
      <x:c r="B25" s="2" t="str">
        <x:v>₽/мес.</x:v>
      </x:c>
      <x:c r="C25" s="9" t="n">
        <x:f>C23-C18-C24</x:f>
        <x:v>-84.69066666666671</x:v>
      </x:c>
      <x:c r="D25" s="9" t="n">
        <x:f>D23-D18-D24</x:f>
        <x:v>2557.4</x:v>
      </x:c>
      <x:c r="E25" s="9" t="n">
        <x:f>E23-E18-E24</x:f>
        <x:v>4787.099999999999</x:v>
      </x:c>
      <x:c r="F25" s="6" t="str">
        <x:v>Выручка − обслуживание − платежи; до постоянных затрат.</x:v>
      </x:c>
    </x:row>
    <x:row r="26" ht="38" customHeight="1">
      <x:c r="A26" s="12" t="str">
        <x:v>Маржа после обслуживания и платежей</x:v>
      </x:c>
      <x:c r="B26" s="2" t="str">
        <x:v>доля</x:v>
      </x:c>
      <x:c r="C26" s="13" t="n">
        <x:f>IF(C23&gt;0,C25/C23,0)</x:f>
        <x:v>-0.057999360818152795</x:v>
      </x:c>
      <x:c r="D26" s="13" t="n">
        <x:f>IF(D23&gt;0,D25/D23,0)</x:f>
        <x:v>0.8639572987399075</x:v>
      </x:c>
      <x:c r="E26" s="13" t="n">
        <x:f>IF(E23&gt;0,E25/E23,0)</x:f>
        <x:v>0.9593386773547093</x:v>
      </x:c>
      <x:c r="F26" s="6" t="str">
        <x:v>Не полная прибыль компании.</x:v>
      </x:c>
    </x:row>
    <x:row r="27" ht="38" customHeight="1">
      <x:c r="A27" s="12" t="str">
        <x:v>Привлечение + онбординг</x:v>
      </x:c>
      <x:c r="B27" s="2" t="str">
        <x:v>₽/клиента</x:v>
      </x:c>
      <x:c r="C27" s="9" t="n">
        <x:f>'Допущения'!C51+'Допущения'!C52/'Допущения'!C6*'Допущения'!C42</x:f>
        <x:v>8000</x:v>
      </x:c>
      <x:c r="D27" s="9" t="n">
        <x:f>'Допущения'!D51+'Допущения'!D52/'Допущения'!D6*'Допущения'!D42</x:f>
        <x:v>4125</x:v>
      </x:c>
      <x:c r="E27" s="9" t="n">
        <x:f>'Допущения'!E51+'Допущения'!E52/'Допущения'!E6*'Допущения'!E42</x:f>
        <x:v>1900</x:v>
      </x:c>
      <x:c r="F27" s="6" t="str">
        <x:v>Один раз на нового клиента модуля.</x:v>
      </x:c>
    </x:row>
    <x:row r="28" ht="38" customHeight="1">
      <x:c r="A28" s="12" t="str">
        <x:v>Простой payback привлечения</x:v>
      </x:c>
      <x:c r="B28" s="2" t="str">
        <x:v>мес.</x:v>
      </x:c>
      <x:c r="C28" s="18" t="str">
        <x:f>IF(C25&gt;0,C27/C25,"не окупается")</x:f>
        <x:v>не окупается</x:v>
      </x:c>
      <x:c r="D28" s="18" t="n">
        <x:f>IF(D25&gt;0,D27/D25,"не окупается")</x:f>
        <x:v>1.6129662938922342</x:v>
      </x:c>
      <x:c r="E28" s="18" t="n">
        <x:f>IF(E25&gt;0,E27/E25,"не окупается")</x:f>
        <x:v>0.39690000208894743</x:v>
      </x:c>
      <x:c r="F28" s="6" t="str">
        <x:v>Без оттока; рядом ограниченный вклад с выживанием.</x:v>
      </x:c>
    </x:row>
    <x:row r="29" ht="38" customHeight="1">
      <x:c r="A29" s="12" t="str">
        <x:v>Вклад клиента за горизонт H</x:v>
      </x:c>
      <x:c r="B29" s="2" t="str">
        <x:v>₽/клиента</x:v>
      </x:c>
      <x:c r="C29" s="9" t="n">
        <x:f>IF('Допущения'!C53=0,C25*'Допущения'!C13,C25*(1-(1-'Допущения'!C53)^'Допущения'!C13)/'Допущения'!C53)</x:f>
        <x:v>-1091.803638289157</x:v>
      </x:c>
      <x:c r="D29" s="9" t="n">
        <x:f>IF('Допущения'!D53=0,D25*'Допущения'!D13,D25*(1-(1-'Допущения'!D53)^'Допущения'!D13)/'Допущения'!D53)</x:f>
        <x:v>44207.45322276528</x:v>
      </x:c>
      <x:c r="E29" s="9" t="n">
        <x:f>IF('Допущения'!E53=0,E25*'Допущения'!E13,E25*(1-(1-'Допущения'!E53)^'Допущения'!E13)/'Допущения'!E53)</x:f>
        <x:v>102598.01721417629</x:v>
      </x:c>
      <x:c r="F29" s="6" t="str">
        <x:v>LTV-H: месячный вклад × выживание. Без дисконтирования и CAC.</x:v>
      </x:c>
    </x:row>
    <x:row r="30" ht="38" customHeight="1">
      <x:c r="A30" s="12" t="str">
        <x:v>LTV-H / затраты привлечения</x:v>
      </x:c>
      <x:c r="B30" s="2" t="str">
        <x:v>раз</x:v>
      </x:c>
      <x:c r="C30" s="21" t="n">
        <x:f>IF(C27&gt;0,C29/C27,"не применимо")</x:f>
        <x:v>-0.13647545478614465</x:v>
      </x:c>
      <x:c r="D30" s="21" t="n">
        <x:f>IF(D27&gt;0,D29/D27,"не применимо")</x:f>
        <x:v>10.716958357034008</x:v>
      </x:c>
      <x:c r="E30" s="21" t="n">
        <x:f>IF(E27&gt;0,E29/E27,"не применимо")</x:f>
        <x:v>53.998956428513836</x:v>
      </x:c>
      <x:c r="F30" s="6" t="str">
        <x:v>Не фактический LTV/CAC MWS; параметры churn не известны.</x:v>
      </x:c>
    </x:row>
    <x:row r="31" ht="38" customHeight="1">
      <x:c r="A31" s="12" t="str">
        <x:v>Аккаунтов для покрытия Opex</x:v>
      </x:c>
      <x:c r="B31" s="2" t="str">
        <x:v>аккаунтов</x:v>
      </x:c>
      <x:c r="C31" s="9" t="str">
        <x:f>IF(C25&gt;0,ROUNDUP('Допущения'!C54/C25,0),"нет порога")</x:f>
        <x:v>нет порога</x:v>
      </x:c>
      <x:c r="D31" s="9" t="n">
        <x:f>IF(D25&gt;0,ROUNDUP('Допущения'!D54/D25,0),"нет порога")</x:f>
        <x:v>16</x:v>
      </x:c>
      <x:c r="E31" s="9" t="n">
        <x:f>IF(E25&gt;0,ROUNDUP('Допущения'!E54/E25,0),"нет порога")</x:f>
        <x:v>5</x:v>
      </x:c>
      <x:c r="F31" s="6" t="str">
        <x:v>При текущем объёме; без R&amp;D и замены ушедших.</x:v>
      </x:c>
    </x:row>
    <x:row r="32" ht="38" customHeight="1">
      <x:c r="A32" s="12" t="str">
        <x:v>Устойчивая база с возвратом R&amp;D</x:v>
      </x:c>
      <x:c r="B32" s="2" t="str">
        <x:v>аккаунтов</x:v>
      </x:c>
      <x:c r="C32" s="9" t="str">
        <x:f>IF(C25-'Допущения'!C53*C27&gt;0,ROUNDUP(('Допущения'!C54+'Допущения'!C55/'Допущения'!C13)/(C25-'Допущения'!C53*C27),0),"нет порога")</x:f>
        <x:v>нет порога</x:v>
      </x:c>
      <x:c r="D32" s="9" t="n">
        <x:f>IF(D25-'Допущения'!D53*D27&gt;0,ROUNDUP(('Допущения'!D54+'Допущения'!D55/'Допущения'!D13)/(D25-'Допущения'!D53*D27),0),"нет порога")</x:f>
        <x:v>37</x:v>
      </x:c>
      <x:c r="E32" s="9" t="n">
        <x:f>IF(E25-'Допущения'!E53*E27&gt;0,ROUNDUP(('Допущения'!E54+'Допущения'!E55/'Допущения'!E13)/(E25-'Допущения'!E53*E27),0),"нет порога")</x:f>
        <x:v>10</x:v>
      </x:c>
      <x:c r="F32" s="6" t="str">
        <x:v>(Opex + R&amp;D/H) / (вклад − churn × CAC с онбордингом).</x:v>
      </x:c>
    </x:row>
    <x:row r="33" ht="38" customHeight="1">
      <x:c r="A33" s="12" t="str">
        <x:v>Минимальный чек для целевой маржи</x:v>
      </x:c>
      <x:c r="B33" s="2" t="str">
        <x:v>₽/мес.</x:v>
      </x:c>
      <x:c r="C33" s="9" t="n">
        <x:f>IF((1-'Допущения'!C65)/(1+'Допущения'!C10)*(1-'Допущения'!C12)-'Допущения'!C43&gt;0,C18/((1-'Допущения'!C65)/(1+'Допущения'!C10)*(1-'Допущения'!C12)-'Допущения'!C43),"невозможно")</x:f>
        <x:v>5847.601049868766</x:v>
      </x:c>
      <x:c r="D33" s="9" t="n">
        <x:f>IF((1-'Допущения'!D65)/(1+'Допущения'!D10)*(1-'Допущения'!D12)-'Допущения'!D43&gt;0,D18/((1-'Допущения'!D65)/(1+'Допущения'!D10)*(1-'Допущения'!D12)-'Допущения'!D43),"невозможно")</x:f>
        <x:v>1172.2846441947565</x:v>
      </x:c>
      <x:c r="E33" s="9" t="n">
        <x:f>IF((1-'Допущения'!E65)/(1+'Допущения'!E10)*(1-'Допущения'!E12)-'Допущения'!E43&gt;0,E18/((1-'Допущения'!E65)/(1+'Допущения'!E10)*(1-'Допущения'!E12)-'Допущения'!E43),"невозможно")</x:f>
        <x:v>368.21428571428567</x:v>
      </x:c>
      <x:c r="F33" s="6" t="str">
        <x:v>Только COGS+платежи. Не включает R&amp;D и не доказывает спрос.</x:v>
      </x:c>
    </x:row>
    <x:row r="34" ht="27" customHeight="1">
      <x:c r="A34" s="2"/>
      <x:c r="B34" s="2"/>
      <x:c r="C34" s="2"/>
      <x:c r="D34" s="2"/>
      <x:c r="E34" s="2"/>
      <x:c r="F34" s="2"/>
    </x:row>
    <x:row r="35" ht="28" customHeight="1">
      <x:c r="A35" s="28" t="str">
        <x:v>C · Только объём: без абонентской платы</x:v>
      </x:c>
      <x:c r="B35" s="28"/>
      <x:c r="C35" s="28"/>
      <x:c r="D35" s="28"/>
      <x:c r="E35" s="28"/>
      <x:c r="F35" s="28"/>
    </x:row>
    <x:row r="36" ht="38" customHeight="1">
      <x:c r="A36" s="12" t="str">
        <x:v>Чек по объёму</x:v>
      </x:c>
      <x:c r="B36" s="2" t="str">
        <x:v>₽/мес.</x:v>
      </x:c>
      <x:c r="C36" s="9" t="n">
        <x:f>C9*'Допущения'!C50</x:f>
        <x:v>2400</x:v>
      </x:c>
      <x:c r="D36" s="9" t="n">
        <x:f>D9*'Допущения'!D50</x:f>
        <x:v>3200</x:v>
      </x:c>
      <x:c r="E36" s="9" t="n">
        <x:f>E9*'Допущения'!E50</x:f>
        <x:v>4000</x:v>
      </x:c>
      <x:c r="F36" s="6" t="str"/>
    </x:row>
    <x:row r="37" ht="38" customHeight="1">
      <x:c r="A37" s="12" t="str">
        <x:v>Выручка без налога</x:v>
      </x:c>
      <x:c r="B37" s="2" t="str">
        <x:v>₽/мес.</x:v>
      </x:c>
      <x:c r="C37" s="9" t="n">
        <x:f>C36*(1-'Допущения'!C65)/(1+'Допущения'!C10)</x:f>
        <x:v>2352</x:v>
      </x:c>
      <x:c r="D37" s="9" t="n">
        <x:f>D36*(1-'Допущения'!D65)/(1+'Допущения'!D10)</x:f>
        <x:v>3168</x:v>
      </x:c>
      <x:c r="E37" s="9" t="n">
        <x:f>E36*(1-'Допущения'!E65)/(1+'Допущения'!E10)</x:f>
        <x:v>4000</x:v>
      </x:c>
      <x:c r="F37" s="6" t="str"/>
    </x:row>
    <x:row r="38" ht="38" customHeight="1">
      <x:c r="A38" s="12" t="str">
        <x:v>Платёжные комиссии</x:v>
      </x:c>
      <x:c r="B38" s="2" t="str">
        <x:v>₽/мес.</x:v>
      </x:c>
      <x:c r="C38" s="9" t="n">
        <x:f>C36*'Допущения'!C43</x:f>
        <x:v>96</x:v>
      </x:c>
      <x:c r="D38" s="9" t="n">
        <x:f>D36*'Допущения'!D43</x:f>
        <x:v>96</x:v>
      </x:c>
      <x:c r="E38" s="9" t="n">
        <x:f>E36*'Допущения'!E43</x:f>
        <x:v>80</x:v>
      </x:c>
      <x:c r="F38" s="6" t="str"/>
    </x:row>
    <x:row r="39" ht="38" customHeight="1">
      <x:c r="A39" s="12" t="str">
        <x:v>Маржинальный вклад</x:v>
      </x:c>
      <x:c r="B39" s="2" t="str">
        <x:v>₽/мес.</x:v>
      </x:c>
      <x:c r="C39" s="9" t="n">
        <x:f>C37-C18-C38</x:f>
        <x:v>770.7093333333332</x:v>
      </x:c>
      <x:c r="D39" s="9" t="n">
        <x:f>D37-D18-D38</x:f>
        <x:v>2759</x:v>
      </x:c>
      <x:c r="E39" s="9" t="n">
        <x:f>E37-E18-E38</x:f>
        <x:v>3816.9</x:v>
      </x:c>
      <x:c r="F39" s="6" t="str"/>
    </x:row>
    <x:row r="40" ht="38" customHeight="1">
      <x:c r="A40" s="12" t="str">
        <x:v>Маржа</x:v>
      </x:c>
      <x:c r="B40" s="2" t="str">
        <x:v>доля</x:v>
      </x:c>
      <x:c r="C40" s="13" t="n">
        <x:f>IF(C37&gt;0,C39/C37,0)</x:f>
        <x:v>0.32768253968253963</x:v>
      </x:c>
      <x:c r="D40" s="13" t="n">
        <x:f>IF(D37&gt;0,D39/D37,0)</x:f>
        <x:v>0.8708964646464646</x:v>
      </x:c>
      <x:c r="E40" s="13" t="n">
        <x:f>IF(E37&gt;0,E39/E37,0)</x:f>
        <x:v>0.954225</x:v>
      </x:c>
      <x:c r="F40" s="6" t="str">
        <x:v>При нулевой выручке 0 — условное отображение, не положительная маржа.</x:v>
      </x:c>
    </x:row>
    <x:row r="41" ht="38" customHeight="1">
      <x:c r="A41" s="12" t="str">
        <x:v>Минимальный объём без убытка COGS</x:v>
      </x:c>
      <x:c r="B41" s="2" t="str">
        <x:v>заявок/мес.</x:v>
      </x:c>
      <x:c r="C41" s="9" t="n">
        <x:f>IF('Допущения'!C50*((1-'Допущения'!C65)/(1+'Допущения'!C10)-'Допущения'!C43)-C17&gt;0,ROUNDUP(C16/('Допущения'!C50*((1-'Допущения'!C65)/(1+'Допущения'!C10)-'Допущения'!C43)-C17),0),"нет порога")</x:f>
        <x:v>59</x:v>
      </x:c>
      <x:c r="D41" s="9" t="n">
        <x:f>IF('Допущения'!D50*((1-'Допущения'!D65)/(1+'Допущения'!D10)-'Допущения'!D43)-D17&gt;0,ROUNDUP(D16/('Допущения'!D50*((1-'Допущения'!D65)/(1+'Допущения'!D10)-'Допущения'!D43)-D17),0),"нет порога")</x:f>
        <x:v>8</x:v>
      </x:c>
      <x:c r="E41" s="9" t="n">
        <x:f>IF('Допущения'!E50*((1-'Допущения'!E65)/(1+'Допущения'!E10)-'Допущения'!E43)-E17&gt;0,ROUNDUP(E16/('Допущения'!E50*((1-'Допущения'!E65)/(1+'Допущения'!E10)-'Допущения'!E43)-E17),0),"нет порога")</x:f>
        <x:v>3</x:v>
      </x:c>
      <x:c r="F41" s="6" t="str">
        <x:v>Если пространство поддерживается даже при нулевом использовании.</x:v>
      </x:c>
    </x:row>
    <x:row r="42" ht="38" customHeight="1">
      <x:c r="A42" s="12" t="str">
        <x:v>Устойчивая база с возвратом R&amp;D</x:v>
      </x:c>
      <x:c r="B42" s="2" t="str">
        <x:v>аккаунтов</x:v>
      </x:c>
      <x:c r="C42" s="9" t="n">
        <x:f>IF(C39-'Допущения'!C53*C27&gt;0,ROUNDUP(('Допущения'!C54+'Допущения'!C55/'Допущения'!C13)/(C39-'Допущения'!C53*C27),0),"нет порога")</x:f>
        <x:v>465</x:v>
      </x:c>
      <x:c r="D42" s="9" t="n">
        <x:f>IF(D39-'Допущения'!D53*D27&gt;0,ROUNDUP(('Допущения'!D54+'Допущения'!D55/'Допущения'!D13)/(D39-'Допущения'!D53*D27),0),"нет порога")</x:f>
        <x:v>35</x:v>
      </x:c>
      <x:c r="E42" s="9" t="n">
        <x:f>IF(E39-'Допущения'!E53*E27&gt;0,ROUNDUP(('Допущения'!E54+'Допущения'!E55/'Допущения'!E13)/(E39-'Допущения'!E53*E27),0),"нет порога")</x:f>
        <x:v>12</x:v>
      </x:c>
      <x:c r="F42" s="6" t="str"/>
    </x:row>
    <x:row r="43" ht="27" customHeight="1">
      <x:c r="A43" s="2"/>
      <x:c r="B43" s="2"/>
      <x:c r="C43" s="2"/>
      <x:c r="D43" s="2"/>
      <x:c r="E43" s="2"/>
      <x:c r="F43" s="2"/>
    </x:row>
    <x:row r="44" ht="28" customHeight="1">
      <x:c r="A44" s="28" t="str">
        <x:v>A · Включить весь помощник в Unlimit без доплаты</x:v>
      </x:c>
      <x:c r="B44" s="28"/>
      <x:c r="C44" s="28"/>
      <x:c r="D44" s="28"/>
      <x:c r="E44" s="28"/>
      <x:c r="F44" s="28"/>
    </x:row>
    <x:row r="45" ht="38" customHeight="1">
      <x:c r="A45" s="12" t="str">
        <x:v>Активных из существующей базы</x:v>
      </x:c>
      <x:c r="B45" s="2" t="str">
        <x:v>аккаунтов</x:v>
      </x:c>
      <x:c r="C45" s="9" t="n">
        <x:f>'Допущения'!C58*'Допущения'!C59</x:f>
        <x:v>300</x:v>
      </x:c>
      <x:c r="D45" s="9" t="n">
        <x:f>'Допущения'!D58*'Допущения'!D59</x:f>
        <x:v>200</x:v>
      </x:c>
      <x:c r="E45" s="9" t="n">
        <x:f>'Допущения'!E58*'Допущения'!E59</x:f>
        <x:v>100</x:v>
      </x:c>
      <x:c r="F45" s="6" t="str">
        <x:v>Старая выручка не приписывается фиче.</x:v>
      </x:c>
    </x:row>
    <x:row r="46" ht="38" customHeight="1">
      <x:c r="A46" s="12" t="str">
        <x:v>Затраты на существующую базу</x:v>
      </x:c>
      <x:c r="B46" s="2" t="str">
        <x:v>₽/мес.</x:v>
      </x:c>
      <x:c r="C46" s="9" t="n">
        <x:f>C45*C18</x:f>
        <x:v>445587.2</x:v>
      </x:c>
      <x:c r="D46" s="9" t="n">
        <x:f>D45*D18</x:f>
        <x:v>62600</x:v>
      </x:c>
      <x:c r="E46" s="9" t="n">
        <x:f>E45*E18</x:f>
        <x:v>10310</x:v>
      </x:c>
      <x:c r="F46" s="6" t="str"/>
    </x:row>
    <x:row r="47" ht="38" customHeight="1">
      <x:c r="A47" s="12" t="str">
        <x:v>Стоимость одного бесплатного демо</x:v>
      </x:c>
      <x:c r="B47" s="2" t="str">
        <x:v>₽/мес.</x:v>
      </x:c>
      <x:c r="C47" s="18" t="n">
        <x:f>'Допущения'!C39+'Допущения'!C62*C13+'Допущения'!C63/'Допущения'!C6*'Допущения'!C42</x:f>
        <x:v>219.77066666666667</x:v>
      </x:c>
      <x:c r="D47" s="18" t="n">
        <x:f>'Допущения'!D39+'Допущения'!D62*D13+'Допущения'!D63/'Допущения'!D6*'Допущения'!D42</x:f>
        <x:v>83.5</x:v>
      </x:c>
      <x:c r="E47" s="18" t="n">
        <x:f>'Допущения'!E39+'Допущения'!E62*E13+'Допущения'!E63/'Допущения'!E6*'Допущения'!E42</x:f>
        <x:v>53.31</x:v>
      </x:c>
      <x:c r="F47" s="6" t="str">
        <x:v>Для демо задана своя суммарная поддержка.</x:v>
      </x:c>
    </x:row>
    <x:row r="48" ht="38" customHeight="1">
      <x:c r="A48" s="12" t="str">
        <x:v>Бюджет бесплатных демо</x:v>
      </x:c>
      <x:c r="B48" s="2" t="str">
        <x:v>₽/мес.</x:v>
      </x:c>
      <x:c r="C48" s="9" t="n">
        <x:f>'Допущения'!C61*C47</x:f>
        <x:v>21977.066666666666</x:v>
      </x:c>
      <x:c r="D48" s="9" t="n">
        <x:f>'Допущения'!D61*D47</x:f>
        <x:v>8350</x:v>
      </x:c>
      <x:c r="E48" s="9" t="n">
        <x:f>'Допущения'!E61*E47</x:f>
        <x:v>5331</x:v>
      </x:c>
      <x:c r="F48" s="6" t="str"/>
    </x:row>
    <x:row r="49" ht="38" customHeight="1">
      <x:c r="A49" s="12" t="str">
        <x:v>Дополнительные активные платящие</x:v>
      </x:c>
      <x:c r="B49" s="2" t="str">
        <x:v>аккаунтов</x:v>
      </x:c>
      <x:c r="C49" s="9" t="n">
        <x:f>'Допущения'!C60</x:f>
        <x:v>10</x:v>
      </x:c>
      <x:c r="D49" s="9" t="n">
        <x:f>'Допущения'!D60</x:f>
        <x:v>50</x:v>
      </x:c>
      <x:c r="E49" s="9" t="n">
        <x:f>'Допущения'!E60</x:f>
        <x:v>150</x:v>
      </x:c>
      <x:c r="F49" s="6" t="str">
        <x:v>Не факт. Причинный эффект требует контрольной группы.</x:v>
      </x:c>
    </x:row>
    <x:row r="50" ht="38" customHeight="1">
      <x:c r="A50" s="12" t="str">
        <x:v>Дополнительная базовая выручка</x:v>
      </x:c>
      <x:c r="B50" s="2" t="str">
        <x:v>₽/мес.</x:v>
      </x:c>
      <x:c r="C50" s="9" t="n">
        <x:f>C49*C6</x:f>
        <x:v>19200</x:v>
      </x:c>
      <x:c r="D50" s="9" t="n">
        <x:f>D49*D6</x:f>
        <x:v>96000</x:v>
      </x:c>
      <x:c r="E50" s="9" t="n">
        <x:f>E49*E6</x:f>
        <x:v>288000</x:v>
      </x:c>
      <x:c r="F50" s="6" t="str">
        <x:v>Только дополнительно полученные и ещё активные клиенты.</x:v>
      </x:c>
    </x:row>
    <x:row r="51" ht="38" customHeight="1">
      <x:c r="A51" s="12" t="str">
        <x:v>Их вклад после обслуживания фичи</x:v>
      </x:c>
      <x:c r="B51" s="2" t="str">
        <x:v>₽/мес.</x:v>
      </x:c>
      <x:c r="C51" s="9" t="n">
        <x:f>C49*(C7-C18)</x:f>
        <x:v>-1412.9066666666677</x:v>
      </x:c>
      <x:c r="D51" s="9" t="n">
        <x:f>D49*(D7-D18)</x:f>
        <x:v>61150</x:v>
      </x:c>
      <x:c r="E51" s="9" t="n">
        <x:f>E49*(E7-E18)</x:f>
        <x:v>229335</x:v>
      </x:c>
      <x:c r="F51" s="6" t="str"/>
    </x:row>
    <x:row r="52" ht="38" customHeight="1">
      <x:c r="A52" s="12" t="str">
        <x:v>Инкрементальный результат bundle</x:v>
      </x:c>
      <x:c r="B52" s="2" t="str">
        <x:v>₽/мес.</x:v>
      </x:c>
      <x:c r="C52" s="9" t="n">
        <x:f>C51-C46-C48-'Допущения'!C54</x:f>
        <x:v>-528977.1733333333</x:v>
      </x:c>
      <x:c r="D52" s="9" t="n">
        <x:f>D51-D46-D48-'Допущения'!D54</x:f>
        <x:v>-49800</x:v>
      </x:c>
      <x:c r="E52" s="9" t="n">
        <x:f>E51-E46-E48-'Допущения'!E54</x:f>
        <x:v>193694</x:v>
      </x:c>
      <x:c r="F52" s="6" t="str">
        <x:v>До разового R&amp;D и любых дополнительных расходов на привлечение.</x:v>
      </x:c>
    </x:row>
    <x:row r="53" ht="38" customHeight="1">
      <x:c r="A53" s="12" t="str">
        <x:v>Нужен доп. активный платящий запас</x:v>
      </x:c>
      <x:c r="B53" s="2" t="str">
        <x:v>аккаунтов</x:v>
      </x:c>
      <x:c r="C53" s="9" t="str">
        <x:f>IF(C7-C18&gt;0,ROUNDUP((C46+C48+'Допущения'!C54)/(C7-C18),0),"нет порога")</x:f>
        <x:v>нет порога</x:v>
      </x:c>
      <x:c r="D53" s="9" t="n">
        <x:f>IF(D7-D18&gt;0,ROUNDUP((D46+D48+'Допущения'!D54)/(D7-D18),0),"нет порога")</x:f>
        <x:v>91</x:v>
      </x:c>
      <x:c r="E53" s="9" t="n">
        <x:f>IF(E7-E18&gt;0,ROUNDUP((E46+E48+'Допущения'!E54)/(E7-E18),0),"нет порога")</x:f>
        <x:v>24</x:v>
      </x:c>
      <x:c r="F53" s="6" t="str">
        <x:v>Порог Opex; НЕ месячная конверсия и не прогноз новых продаж.</x:v>
      </x:c>
    </x:row>
    <x:row r="54" ht="38" customHeight="1">
      <x:c r="A54" s="12" t="str">
        <x:v>Тот же порог + возврат R&amp;D/H</x:v>
      </x:c>
      <x:c r="B54" s="2" t="str">
        <x:v>аккаунтов</x:v>
      </x:c>
      <x:c r="C54" s="9" t="str">
        <x:f>IF(C7-C18&gt;0,ROUNDUP((C46+C48+'Допущения'!C54+'Допущения'!C55/'Допущения'!C13)/(C7-C18),0),"нет порога")</x:f>
        <x:v>нет порога</x:v>
      </x:c>
      <x:c r="D54" s="9" t="n">
        <x:f>IF(D7-D18&gt;0,ROUNDUP((D46+D48+'Допущения'!D54+'Допущения'!D55/'Допущения'!D13)/(D7-D18),0),"нет порога")</x:f>
        <x:v>132</x:v>
      </x:c>
      <x:c r="E54" s="9" t="n">
        <x:f>IF(E7-E18&gt;0,ROUNDUP((E46+E48+'Допущения'!E54+'Допущения'!E55/'Допущения'!E13)/(E7-E18),0),"нет порога")</x:f>
        <x:v>40</x:v>
      </x:c>
      <x:c r="F54" s="6" t="str">
        <x:v>Оптимистично: отдельный CAC bundle не учтён.</x:v>
      </x:c>
    </x:row>
    <x:row r="55" ht="27" customHeight="1">
      <x:c r="A55" s="2"/>
      <x:c r="B55" s="2"/>
      <x:c r="C55" s="2"/>
      <x:c r="D55" s="2"/>
      <x:c r="E55" s="2"/>
      <x:c r="F55" s="2"/>
    </x:row>
    <x:row r="56" ht="46" customHeight="1">
      <x:c r="A56" s="30" t="str">
        <x:v>Включение в тариф окупается только через дополнительную выручку/удержание. Retention uplift по умолчанию не монетизируется. Модель не оценивает всю компанию MWS и не подменяет её P&amp;L.</x:v>
      </x:c>
      <x:c r="B56" s="30"/>
      <x:c r="C56" s="30"/>
      <x:c r="D56" s="30"/>
      <x:c r="E56" s="30"/>
      <x:c r="F56" s="30"/>
    </x:row>
    <x:row r="57" ht="27" customHeight="1">
      <x:c r="A57" s="2"/>
      <x:c r="B57" s="2"/>
      <x:c r="C57" s="2"/>
      <x:c r="D57" s="2"/>
      <x:c r="E57" s="2"/>
      <x:c r="F57" s="2"/>
    </x:row>
    <x:row r="58" ht="27" customHeight="1">
      <x:c r="A58" s="2"/>
      <x:c r="B58" s="2"/>
      <x:c r="C58" s="2"/>
      <x:c r="D58" s="2"/>
      <x:c r="E58" s="2"/>
      <x:c r="F58" s="2"/>
    </x:row>
  </x:sheetData>
  <x:mergeCells>
    <x:mergeCell ref="A1:F1"/>
    <x:mergeCell ref="A2:F2"/>
    <x:mergeCell ref="A21:F21"/>
    <x:mergeCell ref="A35:F35"/>
    <x:mergeCell ref="A44:F44"/>
    <x:mergeCell ref="A56:F56"/>
  </x:mergeCells>
  <x:conditionalFormatting sqref="C25:E25">
    <x:cfRule type="cellIs" dxfId="0" priority="1" operator="lessThan">
      <x:formula>0</x:formula>
    </x:cfRule>
  </x:conditionalFormatting>
  <x:conditionalFormatting sqref="C39:E39">
    <x:cfRule type="cellIs" dxfId="1" priority="2" operator="lessThan">
      <x:formula>0</x:formula>
    </x:cfRule>
  </x:conditionalFormatting>
  <x:conditionalFormatting sqref="C52:E52">
    <x:cfRule type="cellIs" dxfId="2" priority="3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57" hidden="0" customWidth="1"/>
  </x:cols>
  <x:sheetData>
    <x:row r="1" ht="44" customHeight="1">
      <x:c r="A1" s="4" t="str">
        <x:v>Экономика клиента · ёмкость ≠ деньги</x:v>
      </x:c>
      <x:c r="B1" s="4"/>
      <x:c r="C1" s="4"/>
      <x:c r="D1" s="4"/>
      <x:c r="E1" s="4"/>
      <x:c r="F1" s="4"/>
    </x:row>
    <x:row r="2" ht="35" customHeight="1">
      <x:c r="A2" s="6" t="str">
        <x:v>Контрфакт: тот же поток без помощника. Базовый сценарий — действующий клиент Unlimit.</x:v>
      </x:c>
      <x:c r="B2" s="6"/>
      <x:c r="C2" s="6"/>
      <x:c r="D2" s="6"/>
      <x:c r="E2" s="6"/>
      <x:c r="F2" s="6"/>
    </x:row>
    <x:row r="3" ht="27" customHeight="1">
      <x:c r="A3" s="2"/>
      <x:c r="B3" s="2"/>
      <x:c r="C3" s="2"/>
      <x:c r="D3" s="2"/>
      <x:c r="E3" s="2"/>
      <x:c r="F3" s="2"/>
    </x:row>
    <x:row r="4" ht="30" customHeight="1">
      <x:c r="A4" s="8" t="str">
        <x:v>Показатель</x:v>
      </x:c>
      <x:c r="B4" s="8" t="str">
        <x:v>Единица</x:v>
      </x:c>
      <x:c r="C4" s="8" t="str">
        <x:v>Стресс</x:v>
      </x:c>
      <x:c r="D4" s="8" t="str">
        <x:v>Базовый</x:v>
      </x:c>
      <x:c r="E4" s="8" t="str">
        <x:v>Эффективный</x:v>
      </x:c>
      <x:c r="F4" s="8" t="str">
        <x:v>Пояснение</x:v>
      </x:c>
    </x:row>
    <x:row r="5" ht="38" customHeight="1">
      <x:c r="A5" s="12" t="str">
        <x:v>Весь поток клиента</x:v>
      </x:c>
      <x:c r="B5" s="2" t="str">
        <x:v>заявок/мес.</x:v>
      </x:c>
      <x:c r="C5" s="9" t="n">
        <x:f>'Допущения'!C16</x:f>
        <x:v>200</x:v>
      </x:c>
      <x:c r="D5" s="9" t="n">
        <x:f>'Допущения'!D16</x:f>
        <x:v>200</x:v>
      </x:c>
      <x:c r="E5" s="9" t="n">
        <x:f>'Допущения'!E16</x:f>
        <x:v>200</x:v>
      </x:c>
      <x:c r="F5" s="6" t="str"/>
    </x:row>
    <x:row r="6" ht="38" customHeight="1">
      <x:c r="A6" s="12" t="str">
        <x:v>Труд до внедрения</x:v>
      </x:c>
      <x:c r="B6" s="2" t="str">
        <x:v>часов/мес.</x:v>
      </x:c>
      <x:c r="C6" s="18" t="n">
        <x:f>'Допущения'!C16*'Допущения'!C17/'Допущения'!C6</x:f>
        <x:v>166.66666666666666</x:v>
      </x:c>
      <x:c r="D6" s="18" t="n">
        <x:f>'Допущения'!D16*'Допущения'!D17/'Допущения'!D6</x:f>
        <x:v>166.66666666666666</x:v>
      </x:c>
      <x:c r="E6" s="18" t="n">
        <x:f>'Допущения'!E16*'Допущения'!E17/'Допущения'!E6</x:f>
        <x:v>166.66666666666666</x:v>
      </x:c>
      <x:c r="F6" s="6" t="str">
        <x:v>Полный поток, не только автоматизируемая часть.</x:v>
      </x:c>
    </x:row>
    <x:row r="7" ht="38" customHeight="1">
      <x:c r="A7" s="12" t="str">
        <x:v>Стоимость труда до внедрения</x:v>
      </x:c>
      <x:c r="B7" s="2" t="str">
        <x:v>₽/мес.</x:v>
      </x:c>
      <x:c r="C7" s="9" t="n">
        <x:f>C6*'Допущения'!C18</x:f>
        <x:v>333333.3333333333</x:v>
      </x:c>
      <x:c r="D7" s="9" t="n">
        <x:f>D6*'Допущения'!D18</x:f>
        <x:v>333333.3333333333</x:v>
      </x:c>
      <x:c r="E7" s="9" t="n">
        <x:f>E6*'Допущения'!E18</x:f>
        <x:v>333333.3333333333</x:v>
      </x:c>
      <x:c r="F7" s="6" t="str">
        <x:v>Точный результат исходных чисел, в кейсе округлён до ~330 тыс.</x:v>
      </x:c>
    </x:row>
    <x:row r="8" ht="27" customHeight="1">
      <x:c r="A8" s="2"/>
      <x:c r="B8" s="2"/>
      <x:c r="C8" s="2"/>
      <x:c r="D8" s="2"/>
      <x:c r="E8" s="2"/>
      <x:c r="F8" s="2"/>
    </x:row>
    <x:row r="9" ht="38" customHeight="1">
      <x:c r="A9" s="12" t="str">
        <x:v>Охвачено помощником</x:v>
      </x:c>
      <x:c r="B9" s="2" t="str">
        <x:v>заявок/мес.</x:v>
      </x:c>
      <x:c r="C9" s="9" t="n">
        <x:f>'Юнит MWS'!C9</x:f>
        <x:v>120</x:v>
      </x:c>
      <x:c r="D9" s="9" t="n">
        <x:f>'Юнит MWS'!D9</x:f>
        <x:v>160</x:v>
      </x:c>
      <x:c r="E9" s="9" t="n">
        <x:f>'Юнит MWS'!E9</x:f>
        <x:v>200</x:v>
      </x:c>
      <x:c r="F9" s="6" t="str"/>
    </x:row>
    <x:row r="10" ht="38" customHeight="1">
      <x:c r="A10" s="12" t="str">
        <x:v>Среднее время обработки с помощником</x:v>
      </x:c>
      <x:c r="B10" s="2" t="str">
        <x:v>мин./заявку</x:v>
      </x:c>
      <x:c r="C10" s="18" t="n">
        <x:f>'Допущения'!C20*'Допущения'!C21+(1-'Допущения'!C20)*'Допущения'!C22</x:f>
        <x:v>30</x:v>
      </x:c>
      <x:c r="D10" s="18" t="n">
        <x:f>'Допущения'!D20*'Допущения'!D21+(1-'Допущения'!D20)*'Допущения'!D22</x:f>
        <x:v>16.1</x:v>
      </x:c>
      <x:c r="E10" s="18" t="n">
        <x:f>'Допущения'!E20*'Допущения'!E21+(1-'Допущения'!E20)*'Допущения'!E22</x:f>
        <x:v>7.25</x:v>
      </x:c>
      <x:c r="F10" s="6" t="str">
        <x:v>Взвешенное среднее простых и сложных, НЕ целевая медиана 10 мин.</x:v>
      </x:c>
    </x:row>
    <x:row r="11" ht="38" customHeight="1">
      <x:c r="A11" s="12" t="str">
        <x:v>Труд после внедрения, весь поток</x:v>
      </x:c>
      <x:c r="B11" s="2" t="str">
        <x:v>мин./мес.</x:v>
      </x:c>
      <x:c r="C11" s="9" t="n">
        <x:f>(C5-C9)*'Допущения'!C17+C9*C10</x:f>
        <x:v>7600</x:v>
      </x:c>
      <x:c r="D11" s="9" t="n">
        <x:f>(D5-D9)*'Допущения'!D17+D9*D10</x:f>
        <x:v>4576</x:v>
      </x:c>
      <x:c r="E11" s="9" t="n">
        <x:f>(E5-E9)*'Допущения'!E17+E9*E10</x:f>
        <x:v>1450</x:v>
      </x:c>
      <x:c r="F11" s="6" t="str"/>
    </x:row>
    <x:row r="12" ht="38" customHeight="1">
      <x:c r="A12" s="12" t="str">
        <x:v>Высвобождено рабочего времени</x:v>
      </x:c>
      <x:c r="B12" s="2" t="str">
        <x:v>часов/мес.</x:v>
      </x:c>
      <x:c r="C12" s="18" t="n">
        <x:f>C6-C11/'Допущения'!C6</x:f>
        <x:v>39.999999999999986</x:v>
      </x:c>
      <x:c r="D12" s="18" t="n">
        <x:f>D6-D11/'Допущения'!D6</x:f>
        <x:v>90.39999999999999</x:v>
      </x:c>
      <x:c r="E12" s="18" t="n">
        <x:f>E6-E11/'Допущения'!E6</x:f>
        <x:v>142.5</x:v>
      </x:c>
      <x:c r="F12" s="6" t="str">
        <x:v>Может быть отрицательным, если помощник увеличивает труд.</x:v>
      </x:c>
    </x:row>
    <x:row r="13" ht="38" customHeight="1">
      <x:c r="A13" s="12" t="str">
        <x:v>Ценность высвобождённой ёмкости</x:v>
      </x:c>
      <x:c r="B13" s="2" t="str">
        <x:v>₽/мес.</x:v>
      </x:c>
      <x:c r="C13" s="9" t="n">
        <x:f>C12*'Допущения'!C18</x:f>
        <x:v>79999.99999999997</x:v>
      </x:c>
      <x:c r="D13" s="9" t="n">
        <x:f>D12*'Допущения'!D18</x:f>
        <x:v>180799.99999999997</x:v>
      </x:c>
      <x:c r="E13" s="9" t="n">
        <x:f>E12*'Допущения'!E18</x:f>
        <x:v>285000</x:v>
      </x:c>
      <x:c r="F13" s="6" t="str">
        <x:v>Не равна сокращению расходов или приросту выручки.</x:v>
      </x:c>
    </x:row>
    <x:row r="14" ht="38" customHeight="1">
      <x:c r="A14" s="12" t="str">
        <x:v>Реализуемая денежная экономия</x:v>
      </x:c>
      <x:c r="B14" s="2" t="str">
        <x:v>₽/мес.</x:v>
      </x:c>
      <x:c r="C14" s="9" t="n">
        <x:f>C13*'Допущения'!C23</x:f>
        <x:v>0</x:v>
      </x:c>
      <x:c r="D14" s="9" t="n">
        <x:f>D13*'Допущения'!D23</x:f>
        <x:v>45199.99999999999</x:v>
      </x:c>
      <x:c r="E14" s="9" t="n">
        <x:f>E13*'Допущения'!E23</x:f>
        <x:v>142500</x:v>
      </x:c>
      <x:c r="F14" s="6" t="str">
        <x:v>Только доля, для которой найден реальный способ избежать расходов.</x:v>
      </x:c>
    </x:row>
    <x:row r="15" ht="38" customHeight="1">
      <x:c r="A15" s="12" t="str">
        <x:v>Текущее администрирование</x:v>
      </x:c>
      <x:c r="B15" s="2" t="str">
        <x:v>₽/мес.</x:v>
      </x:c>
      <x:c r="C15" s="9" t="n">
        <x:f>'Допущения'!C26*'Допущения'!C18</x:f>
        <x:v>8000</x:v>
      </x:c>
      <x:c r="D15" s="9" t="n">
        <x:f>'Допущения'!D26*'Допущения'!D18</x:f>
        <x:v>4000</x:v>
      </x:c>
      <x:c r="E15" s="9" t="n">
        <x:f>'Допущения'!E26*'Допущения'!E18</x:f>
        <x:v>2000</x:v>
      </x:c>
      <x:c r="F15" s="6" t="str"/>
    </x:row>
    <x:row r="16" ht="38" customHeight="1">
      <x:c r="A16" s="12" t="str">
        <x:v>LLM напрямую за счёт клиента</x:v>
      </x:c>
      <x:c r="B16" s="2" t="str">
        <x:v>₽/мес.</x:v>
      </x:c>
      <x:c r="C16" s="9" t="n">
        <x:f>'Юнит MWS'!C19</x:f>
        <x:v>0</x:v>
      </x:c>
      <x:c r="D16" s="9" t="n">
        <x:f>'Юнит MWS'!D19</x:f>
        <x:v>0</x:v>
      </x:c>
      <x:c r="E16" s="9" t="n">
        <x:f>'Юнит MWS'!E19</x:f>
        <x:v>0</x:v>
      </x:c>
      <x:c r="F16" s="6" t="str"/>
    </x:row>
    <x:row r="17" ht="38" customHeight="1">
      <x:c r="A17" s="12" t="str">
        <x:v>Дополнительная базовая лицензия</x:v>
      </x:c>
      <x:c r="B17" s="2" t="str">
        <x:v>₽/мес.</x:v>
      </x:c>
      <x:c r="C17" s="9" t="n">
        <x:f>'Допущения'!C24*'Юнит MWS'!C5</x:f>
        <x:v>0</x:v>
      </x:c>
      <x:c r="D17" s="9" t="n">
        <x:f>'Допущения'!D24*'Юнит MWS'!D5</x:f>
        <x:v>0</x:v>
      </x:c>
      <x:c r="E17" s="9" t="n">
        <x:f>'Допущения'!E24*'Юнит MWS'!E5</x:f>
        <x:v>0</x:v>
      </x:c>
      <x:c r="F17" s="6" t="str">
        <x:v>0 у действующего Unlimit; 1 920 ₽/мес у переходящего с Free.</x:v>
      </x:c>
    </x:row>
    <x:row r="18" ht="38" customHeight="1">
      <x:c r="A18" s="12" t="str">
        <x:v>Разовое внедрение клиентом</x:v>
      </x:c>
      <x:c r="B18" s="2" t="str">
        <x:v>₽</x:v>
      </x:c>
      <x:c r="C18" s="9" t="n">
        <x:f>'Допущения'!C25*'Допущения'!C18</x:f>
        <x:v>24000</x:v>
      </x:c>
      <x:c r="D18" s="9" t="n">
        <x:f>'Допущения'!D25*'Допущения'!D18</x:f>
        <x:v>16000</x:v>
      </x:c>
      <x:c r="E18" s="9" t="n">
        <x:f>'Допущения'!E25*'Допущения'!E18</x:f>
        <x:v>8000</x:v>
      </x:c>
      <x:c r="F18" s="6" t="str"/>
    </x:row>
    <x:row r="19" ht="27" customHeight="1">
      <x:c r="A19" s="2"/>
      <x:c r="B19" s="2"/>
      <x:c r="C19" s="2"/>
      <x:c r="D19" s="2"/>
      <x:c r="E19" s="2"/>
      <x:c r="F19" s="2"/>
    </x:row>
    <x:row r="20" ht="28" customHeight="1">
      <x:c r="A20" s="28" t="str">
        <x:v>B · Клиент покупает модуль с квотой</x:v>
      </x:c>
      <x:c r="B20" s="28"/>
      <x:c r="C20" s="28"/>
      <x:c r="D20" s="28"/>
      <x:c r="E20" s="28"/>
      <x:c r="F20" s="28"/>
    </x:row>
    <x:row r="21" ht="38" customHeight="1">
      <x:c r="A21" s="12" t="str">
        <x:v>Доплата за модуль</x:v>
      </x:c>
      <x:c r="B21" s="2" t="str">
        <x:v>₽/мес.</x:v>
      </x:c>
      <x:c r="C21" s="9" t="n">
        <x:f>'Юнит MWS'!C22</x:f>
        <x:v>1490</x:v>
      </x:c>
      <x:c r="D21" s="9" t="n">
        <x:f>'Юнит MWS'!D22</x:f>
        <x:v>2990</x:v>
      </x:c>
      <x:c r="E21" s="9" t="n">
        <x:f>'Юнит MWS'!E22</x:f>
        <x:v>4990</x:v>
      </x:c>
      <x:c r="F21" s="6" t="str"/>
    </x:row>
    <x:row r="22" ht="38" customHeight="1">
      <x:c r="A22" s="12" t="str">
        <x:v>Все повторяющиеся доп. расходы</x:v>
      </x:c>
      <x:c r="B22" s="2" t="str">
        <x:v>₽/мес.</x:v>
      </x:c>
      <x:c r="C22" s="9" t="n">
        <x:f>SUM(C15:C17)+C21</x:f>
        <x:v>9490</x:v>
      </x:c>
      <x:c r="D22" s="9" t="n">
        <x:f>SUM(D15:D17)+D21</x:f>
        <x:v>6990</x:v>
      </x:c>
      <x:c r="E22" s="9" t="n">
        <x:f>SUM(E15:E17)+E21</x:f>
        <x:v>6990</x:v>
      </x:c>
      <x:c r="F22" s="6" t="str">
        <x:v>Консервативно весь чек; налоговый вычет клиента не предполагается.</x:v>
      </x:c>
    </x:row>
    <x:row r="23" ht="38" customHeight="1">
      <x:c r="A23" s="12" t="str">
        <x:v>Чистая ценность высвобождения</x:v>
      </x:c>
      <x:c r="B23" s="2" t="str">
        <x:v>₽/мес.</x:v>
      </x:c>
      <x:c r="C23" s="9" t="n">
        <x:f>C13-C22</x:f>
        <x:v>70509.99999999997</x:v>
      </x:c>
      <x:c r="D23" s="9" t="n">
        <x:f>D13-D22</x:f>
        <x:v>173809.99999999997</x:v>
      </x:c>
      <x:c r="E23" s="9" t="n">
        <x:f>E13-E22</x:f>
        <x:v>278010</x:v>
      </x:c>
      <x:c r="F23" s="6" t="str">
        <x:v>Экономическая ёмкость, не cash flow.</x:v>
      </x:c>
    </x:row>
    <x:row r="24" ht="38" customHeight="1">
      <x:c r="A24" s="12" t="str">
        <x:v>Чистый реализуемый денежный эффект</x:v>
      </x:c>
      <x:c r="B24" s="2" t="str">
        <x:v>₽/мес.</x:v>
      </x:c>
      <x:c r="C24" s="9" t="n">
        <x:f>C14-C22</x:f>
        <x:v>-9490</x:v>
      </x:c>
      <x:c r="D24" s="9" t="n">
        <x:f>D14-D22</x:f>
        <x:v>38209.99999999999</x:v>
      </x:c>
      <x:c r="E24" s="9" t="n">
        <x:f>E14-E22</x:f>
        <x:v>135510</x:v>
      </x:c>
      <x:c r="F24" s="6" t="str">
        <x:v>За вычетом лицензии, администрирования и BYOK.</x:v>
      </x:c>
    </x:row>
    <x:row r="25" ht="38" customHeight="1">
      <x:c r="A25" s="12" t="str">
        <x:v>Окупаемость внедрения (денежная)</x:v>
      </x:c>
      <x:c r="B25" s="2" t="str">
        <x:v>мес.</x:v>
      </x:c>
      <x:c r="C25" s="18" t="str">
        <x:f>IF(C24&gt;0,C18/C24,"не окупается")</x:f>
        <x:v>не окупается</x:v>
      </x:c>
      <x:c r="D25" s="18" t="n">
        <x:f>IF(D24&gt;0,D18/D24,"не окупается")</x:f>
        <x:v>0.4187385501177703</x:v>
      </x:c>
      <x:c r="E25" s="18" t="n">
        <x:f>IF(E24&gt;0,E18/E24,"не окупается")</x:f>
        <x:v>0.05903623348830345</x:v>
      </x:c>
      <x:c r="F25" s="6" t="str">
        <x:v>Простой срок при стабильном ежемесячном эффекте.</x:v>
      </x:c>
    </x:row>
    <x:row r="26" ht="38" customHeight="1">
      <x:c r="A26" s="12" t="str">
        <x:v>Денежный ROI первого года</x:v>
      </x:c>
      <x:c r="B26" s="2" t="str">
        <x:v>доля</x:v>
      </x:c>
      <x:c r="C26" s="13" t="n">
        <x:f>IF(C18+'Допущения'!C5*C22&gt;0,('Допущения'!C5*C24-C18)/(C18+'Допущения'!C5*C22),0)</x:f>
        <x:v>-1</x:v>
      </x:c>
      <x:c r="D26" s="13" t="n">
        <x:f>IF(D18+'Допущения'!D5*D22&gt;0,('Допущения'!D5*D24-D18)/(D18+'Допущения'!D5*D22),0)</x:f>
        <x:v>4.430516619943932</x:v>
      </x:c>
      <x:c r="E26" s="13" t="n">
        <x:f>IF(E18+'Допущения'!E5*E22&gt;0,('Допущения'!E5*E24-E18)/(E18+'Допущения'!E5*E22),0)</x:f>
        <x:v>17.611232041793645</x:v>
      </x:c>
      <x:c r="F26" s="6" t="str">
        <x:v>(Годовая экономия − все затраты) / все затраты.</x:v>
      </x:c>
    </x:row>
    <x:row r="27" ht="38" customHeight="1">
      <x:c r="A27" s="12" t="str">
        <x:v>Потолок доплаты из денежной экономии</x:v>
      </x:c>
      <x:c r="B27" s="2" t="str">
        <x:v>₽/мес.</x:v>
      </x:c>
      <x:c r="C27" s="9" t="n">
        <x:f>MAX(0,C14-SUM(C15:C17))</x:f>
        <x:v>0</x:v>
      </x:c>
      <x:c r="D27" s="9" t="n">
        <x:f>MAX(0,D14-SUM(D15:D17))</x:f>
        <x:v>41199.99999999999</x:v>
      </x:c>
      <x:c r="E27" s="9" t="n">
        <x:f>MAX(0,E14-SUM(E15:E17))</x:f>
        <x:v>140500</x:v>
      </x:c>
      <x:c r="F27" s="6" t="str">
        <x:v>Теоретический потолок без учёта внедрения; НЕ willingness-to-pay.</x:v>
      </x:c>
    </x:row>
    <x:row r="28" ht="38" customHeight="1">
      <x:c r="A28" s="12" t="str">
        <x:v>Счёт: базовый пакет + модуль</x:v>
      </x:c>
      <x:c r="B28" s="2" t="str">
        <x:v>₽/мес.</x:v>
      </x:c>
      <x:c r="C28" s="9" t="n">
        <x:f>'Юнит MWS'!C5+C21</x:f>
        <x:v>3410</x:v>
      </x:c>
      <x:c r="D28" s="9" t="n">
        <x:f>'Юнит MWS'!D5+D21</x:f>
        <x:v>4910</x:v>
      </x:c>
      <x:c r="E28" s="9" t="n">
        <x:f>'Юнит MWS'!E5+E21</x:f>
        <x:v>6910</x:v>
      </x:c>
      <x:c r="F28" s="6" t="str">
        <x:v>Месячный эквивалент; базовый пакет оплачивается за год.</x:v>
      </x:c>
    </x:row>
    <x:row r="29" ht="38" customHeight="1">
      <x:c r="A29" s="12" t="str">
        <x:v>Доплата / текущий базовый пакет</x:v>
      </x:c>
      <x:c r="B29" s="2" t="str">
        <x:v>доля</x:v>
      </x:c>
      <x:c r="C29" s="13" t="n">
        <x:f>C21/'Юнит MWS'!C5</x:f>
        <x:v>0.7760416666666666</x:v>
      </x:c>
      <x:c r="D29" s="13" t="n">
        <x:f>D21/'Юнит MWS'!D5</x:f>
        <x:v>1.5572916666666667</x:v>
      </x:c>
      <x:c r="E29" s="13" t="n">
        <x:f>E21/'Юнит MWS'!E5</x:f>
        <x:v>2.5989583333333335</x:v>
      </x:c>
      <x:c r="F29" s="6" t="str">
        <x:v>Видно, насколько модуль дороже относительно дешёвого входного тарифа.</x:v>
      </x:c>
    </x:row>
    <x:row r="30" ht="27" customHeight="1">
      <x:c r="A30" s="2"/>
      <x:c r="B30" s="2"/>
      <x:c r="C30" s="2"/>
      <x:c r="D30" s="2"/>
      <x:c r="E30" s="2"/>
      <x:c r="F30" s="2"/>
    </x:row>
    <x:row r="31" ht="28" customHeight="1">
      <x:c r="A31" s="28" t="str">
        <x:v>Альтернативы для того же клиента</x:v>
      </x:c>
      <x:c r="B31" s="28"/>
      <x:c r="C31" s="28"/>
      <x:c r="D31" s="28"/>
      <x:c r="E31" s="28"/>
      <x:c r="F31" s="28"/>
    </x:row>
    <x:row r="32" ht="38" customHeight="1">
      <x:c r="A32" s="12" t="str">
        <x:v>C: денежный эффект pay-as-you-go</x:v>
      </x:c>
      <x:c r="B32" s="2" t="str">
        <x:v>₽/мес.</x:v>
      </x:c>
      <x:c r="C32" s="9" t="n">
        <x:f>C14-SUM(C15:C17)-'Юнит MWS'!C36</x:f>
        <x:v>-10400</x:v>
      </x:c>
      <x:c r="D32" s="9" t="n">
        <x:f>D14-SUM(D15:D17)-'Юнит MWS'!D36</x:f>
        <x:v>37999.99999999999</x:v>
      </x:c>
      <x:c r="E32" s="9" t="n">
        <x:f>E14-SUM(E15:E17)-'Юнит MWS'!E36</x:f>
        <x:v>136500</x:v>
      </x:c>
      <x:c r="F32" s="6" t="str"/>
    </x:row>
    <x:row r="33" ht="38" customHeight="1">
      <x:c r="A33" s="12" t="str">
        <x:v>A: денежный эффект bundle</x:v>
      </x:c>
      <x:c r="B33" s="2" t="str">
        <x:v>₽/мес.</x:v>
      </x:c>
      <x:c r="C33" s="9" t="n">
        <x:f>C14-SUM(C15:C17)</x:f>
        <x:v>-8000</x:v>
      </x:c>
      <x:c r="D33" s="9" t="n">
        <x:f>D14-SUM(D15:D17)</x:f>
        <x:v>41199.99999999999</x:v>
      </x:c>
      <x:c r="E33" s="9" t="n">
        <x:f>E14-SUM(E15:E17)</x:f>
        <x:v>140500</x:v>
      </x:c>
      <x:c r="F33" s="6" t="str">
        <x:v>Для Freemium включите переход на Unlimit в Допущения, строка 24.</x:v>
      </x:c>
    </x:row>
    <x:row r="34" ht="27" customHeight="1">
      <x:c r="A34" s="2"/>
      <x:c r="B34" s="2"/>
      <x:c r="C34" s="2"/>
      <x:c r="D34" s="2"/>
      <x:c r="E34" s="2"/>
      <x:c r="F34" s="2"/>
    </x:row>
    <x:row r="35" ht="50" customHeight="1">
      <x:c r="A35" s="30" t="str">
        <x:v>Потери от ошибок, ускорение выручки и предотвращённые задержки не оценены в рублях: нет данных. Медиана ≤10 минут из кейса не позволяет обещать такое среднее всем заявкам.</x:v>
      </x:c>
      <x:c r="B35" s="30"/>
      <x:c r="C35" s="30"/>
      <x:c r="D35" s="30"/>
      <x:c r="E35" s="30"/>
      <x:c r="F35" s="30"/>
    </x:row>
    <x:row r="36" ht="27" customHeight="1">
      <x:c r="A36" s="2"/>
      <x:c r="B36" s="2"/>
      <x:c r="C36" s="2"/>
      <x:c r="D36" s="2"/>
      <x:c r="E36" s="2"/>
      <x:c r="F36" s="2"/>
    </x:row>
    <x:row r="37" ht="27" customHeight="1">
      <x:c r="A37" s="2"/>
      <x:c r="B37" s="2"/>
      <x:c r="C37" s="2"/>
      <x:c r="D37" s="2"/>
      <x:c r="E37" s="2"/>
      <x:c r="F37" s="2"/>
    </x:row>
    <x:row r="38" ht="27" customHeight="1">
      <x:c r="A38" s="2"/>
      <x:c r="B38" s="2"/>
      <x:c r="C38" s="2"/>
      <x:c r="D38" s="2"/>
      <x:c r="E38" s="2"/>
      <x:c r="F38" s="2"/>
    </x:row>
    <x:row r="39" ht="27" customHeight="1">
      <x:c r="A39" s="2"/>
      <x:c r="B39" s="2"/>
      <x:c r="C39" s="2"/>
      <x:c r="D39" s="2"/>
      <x:c r="E39" s="2"/>
      <x:c r="F39" s="2"/>
    </x:row>
  </x:sheetData>
  <x:mergeCells>
    <x:mergeCell ref="A1:F1"/>
    <x:mergeCell ref="A2:F2"/>
    <x:mergeCell ref="A20:F20"/>
    <x:mergeCell ref="A31:F31"/>
    <x:mergeCell ref="A35:F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44" customHeight="1">
      <x:c r="A1" s="4" t="str">
        <x:v>Масштабирование модуля · 24 месяца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5" customHeight="1">
      <x:c r="A2" s="6" t="str">
        <x:v>Только базовый сценарий B. Условная помесячная модель начислений, не реальный cash flow годового Unlimit.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4" customHeight="1">
      <x:c r="A4" s="31" t="str">
        <x:v>Месяц</x:v>
      </x:c>
      <x:c r="B4" s="31" t="str">
        <x:v>На начало</x:v>
      </x:c>
      <x:c r="C4" s="31" t="str">
        <x:v>Новые</x:v>
      </x:c>
      <x:c r="D4" s="31" t="str">
        <x:v>Ушли</x:v>
      </x:c>
      <x:c r="E4" s="31" t="str">
        <x:v>Активны</x:v>
      </x:c>
      <x:c r="F4" s="31" t="str">
        <x:v>Выручка, ₽</x:v>
      </x:c>
      <x:c r="G4" s="31" t="str">
        <x:v>COGS+плат., ₽</x:v>
      </x:c>
      <x:c r="H4" s="31" t="str">
        <x:v>Продажа + ввод, ₽</x:v>
      </x:c>
      <x:c r="I4" s="31" t="str">
        <x:v>Opex, ₽</x:v>
      </x:c>
      <x:c r="J4" s="31" t="str">
        <x:v>Результат, ₽</x:v>
      </x:c>
      <x:c r="K4" s="31" t="str">
        <x:v>Накоплено, ₽</x:v>
      </x:c>
      <x:c r="L4" s="31" t="str">
        <x:v>R&amp;D покрыто? 1 / 0</x:v>
      </x:c>
    </x:row>
    <x:row r="5" ht="27" customHeight="1">
      <x:c r="A5" s="2" t="n">
        <x:f>1</x:f>
        <x:v>1</x:v>
      </x:c>
      <x:c r="B5" s="18" t="n">
        <x:f>'Допущения'!D57</x:f>
        <x:v>0</x:v>
      </x:c>
      <x:c r="C5" s="18" t="n">
        <x:f>'Допущения'!D56</x:f>
        <x:v>15</x:v>
      </x:c>
      <x:c r="D5" s="18" t="n">
        <x:f>B5*'Допущения'!D53</x:f>
        <x:v>0</x:v>
      </x:c>
      <x:c r="E5" s="18" t="n">
        <x:f>B5+C5-D5</x:f>
        <x:v>15</x:v>
      </x:c>
      <x:c r="F5" s="9" t="n">
        <x:f>E5*'Юнит MWS'!D23</x:f>
        <x:v>44401.5</x:v>
      </x:c>
      <x:c r="G5" s="9" t="n">
        <x:f>E5*('Юнит MWS'!D18+'Юнит MWS'!D24)</x:f>
        <x:v>6040.5</x:v>
      </x:c>
      <x:c r="H5" s="9" t="n">
        <x:f>C5*'Юнит MWS'!D27</x:f>
        <x:v>61875</x:v>
      </x:c>
      <x:c r="I5" s="9" t="n">
        <x:f>'Допущения'!D54</x:f>
        <x:v>40000</x:v>
      </x:c>
      <x:c r="J5" s="9" t="n">
        <x:f>F5-G5-H5-I5</x:f>
        <x:v>-63514</x:v>
      </x:c>
      <x:c r="K5" s="9" t="n">
        <x:f>J5-'Допущения'!D55</x:f>
        <x:v>-1263514</x:v>
      </x:c>
      <x:c r="L5" s="2" t="n">
        <x:f>IF(K5&gt;=0,1,0)</x:f>
        <x:v>0</x:v>
      </x:c>
    </x:row>
    <x:row r="6" ht="27" customHeight="1">
      <x:c r="A6" s="2" t="n">
        <x:f>A5+1</x:f>
        <x:v>2</x:v>
      </x:c>
      <x:c r="B6" s="18" t="n">
        <x:f>E5</x:f>
        <x:v>15</x:v>
      </x:c>
      <x:c r="C6" s="18" t="n">
        <x:f>'Допущения'!D56</x:f>
        <x:v>15</x:v>
      </x:c>
      <x:c r="D6" s="18" t="n">
        <x:f>B6*'Допущения'!D53</x:f>
        <x:v>0.44999999999999996</x:v>
      </x:c>
      <x:c r="E6" s="18" t="n">
        <x:f>B6+C6-D6</x:f>
        <x:v>29.55</x:v>
      </x:c>
      <x:c r="F6" s="9" t="n">
        <x:f>E6*'Юнит MWS'!D23</x:f>
        <x:v>87470.955</x:v>
      </x:c>
      <x:c r="G6" s="9" t="n">
        <x:f>E6*('Юнит MWS'!D18+'Юнит MWS'!D24)</x:f>
        <x:v>11899.785</x:v>
      </x:c>
      <x:c r="H6" s="9" t="n">
        <x:f>C6*'Юнит MWS'!D27</x:f>
        <x:v>61875</x:v>
      </x:c>
      <x:c r="I6" s="9" t="n">
        <x:f>'Допущения'!D54</x:f>
        <x:v>40000</x:v>
      </x:c>
      <x:c r="J6" s="9" t="n">
        <x:f>F6-G6-H6-I6</x:f>
        <x:v>-26303.83</x:v>
      </x:c>
      <x:c r="K6" s="9" t="n">
        <x:f>K5+J6</x:f>
        <x:v>-1289817.83</x:v>
      </x:c>
      <x:c r="L6" s="2" t="n">
        <x:f>IF(K6&gt;=0,1,0)</x:f>
        <x:v>0</x:v>
      </x:c>
    </x:row>
    <x:row r="7" ht="27" customHeight="1">
      <x:c r="A7" s="2" t="n">
        <x:f>A6+1</x:f>
        <x:v>3</x:v>
      </x:c>
      <x:c r="B7" s="18" t="n">
        <x:f>E6</x:f>
        <x:v>29.55</x:v>
      </x:c>
      <x:c r="C7" s="18" t="n">
        <x:f>'Допущения'!D56</x:f>
        <x:v>15</x:v>
      </x:c>
      <x:c r="D7" s="18" t="n">
        <x:f>B7*'Допущения'!D53</x:f>
        <x:v>0.8865</x:v>
      </x:c>
      <x:c r="E7" s="18" t="n">
        <x:f>B7+C7-D7</x:f>
        <x:v>43.6635</x:v>
      </x:c>
      <x:c r="F7" s="9" t="n">
        <x:f>E7*'Юнит MWS'!D23</x:f>
        <x:v>129248.32634999999</x:v>
      </x:c>
      <x:c r="G7" s="9" t="n">
        <x:f>E7*('Юнит MWS'!D18+'Юнит MWS'!D24)</x:f>
        <x:v>17583.29145</x:v>
      </x:c>
      <x:c r="H7" s="9" t="n">
        <x:f>C7*'Юнит MWS'!D27</x:f>
        <x:v>61875</x:v>
      </x:c>
      <x:c r="I7" s="9" t="n">
        <x:f>'Допущения'!D54</x:f>
        <x:v>40000</x:v>
      </x:c>
      <x:c r="J7" s="9" t="n">
        <x:f>F7-G7-H7-I7</x:f>
        <x:v>9790.034899999984</x:v>
      </x:c>
      <x:c r="K7" s="9" t="n">
        <x:f>K6+J7</x:f>
        <x:v>-1280027.7951</x:v>
      </x:c>
      <x:c r="L7" s="2" t="n">
        <x:f>IF(K7&gt;=0,1,0)</x:f>
        <x:v>0</x:v>
      </x:c>
    </x:row>
    <x:row r="8" ht="27" customHeight="1">
      <x:c r="A8" s="2" t="n">
        <x:f>A7+1</x:f>
        <x:v>4</x:v>
      </x:c>
      <x:c r="B8" s="18" t="n">
        <x:f>E7</x:f>
        <x:v>43.6635</x:v>
      </x:c>
      <x:c r="C8" s="18" t="n">
        <x:f>'Допущения'!D56</x:f>
        <x:v>15</x:v>
      </x:c>
      <x:c r="D8" s="18" t="n">
        <x:f>B8*'Допущения'!D53</x:f>
        <x:v>1.3099049999999999</x:v>
      </x:c>
      <x:c r="E8" s="18" t="n">
        <x:f>B8+C8-D8</x:f>
        <x:v>57.353595</x:v>
      </x:c>
      <x:c r="F8" s="9" t="n">
        <x:f>E8*'Юнит MWS'!D23</x:f>
        <x:v>169772.3765595</x:v>
      </x:c>
      <x:c r="G8" s="9" t="n">
        <x:f>E8*('Юнит MWS'!D18+'Юнит MWS'!D24)</x:f>
        <x:v>23096.2927065</x:v>
      </x:c>
      <x:c r="H8" s="9" t="n">
        <x:f>C8*'Юнит MWS'!D27</x:f>
        <x:v>61875</x:v>
      </x:c>
      <x:c r="I8" s="9" t="n">
        <x:f>'Допущения'!D54</x:f>
        <x:v>40000</x:v>
      </x:c>
      <x:c r="J8" s="9" t="n">
        <x:f>F8-G8-H8-I8</x:f>
        <x:v>44801.08385299999</x:v>
      </x:c>
      <x:c r="K8" s="9" t="n">
        <x:f>K7+J8</x:f>
        <x:v>-1235226.711247</x:v>
      </x:c>
      <x:c r="L8" s="2" t="n">
        <x:f>IF(K8&gt;=0,1,0)</x:f>
        <x:v>0</x:v>
      </x:c>
    </x:row>
    <x:row r="9" ht="27" customHeight="1">
      <x:c r="A9" s="2" t="n">
        <x:f>A8+1</x:f>
        <x:v>5</x:v>
      </x:c>
      <x:c r="B9" s="18" t="n">
        <x:f>E8</x:f>
        <x:v>57.353595</x:v>
      </x:c>
      <x:c r="C9" s="18" t="n">
        <x:f>'Допущения'!D56</x:f>
        <x:v>15</x:v>
      </x:c>
      <x:c r="D9" s="18" t="n">
        <x:f>B9*'Допущения'!D53</x:f>
        <x:v>1.72060785</x:v>
      </x:c>
      <x:c r="E9" s="18" t="n">
        <x:f>B9+C9-D9</x:f>
        <x:v>70.63298715</x:v>
      </x:c>
      <x:c r="F9" s="9" t="n">
        <x:f>E9*'Юнит MWS'!D23</x:f>
        <x:v>209080.705262715</x:v>
      </x:c>
      <x:c r="G9" s="9" t="n">
        <x:f>E9*('Юнит MWS'!D18+'Юнит MWS'!D24)</x:f>
        <x:v>28443.903925305</x:v>
      </x:c>
      <x:c r="H9" s="9" t="n">
        <x:f>C9*'Юнит MWS'!D27</x:f>
        <x:v>61875</x:v>
      </x:c>
      <x:c r="I9" s="9" t="n">
        <x:f>'Допущения'!D54</x:f>
        <x:v>40000</x:v>
      </x:c>
      <x:c r="J9" s="9" t="n">
        <x:f>F9-G9-H9-I9</x:f>
        <x:v>78761.80133741</x:v>
      </x:c>
      <x:c r="K9" s="9" t="n">
        <x:f>K8+J9</x:f>
        <x:v>-1156464.90990959</x:v>
      </x:c>
      <x:c r="L9" s="2" t="n">
        <x:f>IF(K9&gt;=0,1,0)</x:f>
        <x:v>0</x:v>
      </x:c>
    </x:row>
    <x:row r="10" ht="27" customHeight="1">
      <x:c r="A10" s="2" t="n">
        <x:f>A9+1</x:f>
        <x:v>6</x:v>
      </x:c>
      <x:c r="B10" s="18" t="n">
        <x:f>E9</x:f>
        <x:v>70.63298715</x:v>
      </x:c>
      <x:c r="C10" s="18" t="n">
        <x:f>'Допущения'!D56</x:f>
        <x:v>15</x:v>
      </x:c>
      <x:c r="D10" s="18" t="n">
        <x:f>B10*'Допущения'!D53</x:f>
        <x:v>2.1189896145000002</x:v>
      </x:c>
      <x:c r="E10" s="18" t="n">
        <x:f>B10+C10-D10</x:f>
        <x:v>83.51399753550001</x:v>
      </x:c>
      <x:c r="F10" s="9" t="n">
        <x:f>E10*'Юнит MWS'!D23</x:f>
        <x:v>247209.78410483358</x:v>
      </x:c>
      <x:c r="G10" s="9" t="n">
        <x:f>E10*('Юнит MWS'!D18+'Юнит MWS'!D24)</x:f>
        <x:v>33631.08680754586</x:v>
      </x:c>
      <x:c r="H10" s="9" t="n">
        <x:f>C10*'Юнит MWS'!D27</x:f>
        <x:v>61875</x:v>
      </x:c>
      <x:c r="I10" s="9" t="n">
        <x:f>'Допущения'!D54</x:f>
        <x:v>40000</x:v>
      </x:c>
      <x:c r="J10" s="9" t="n">
        <x:f>F10-G10-H10-I10</x:f>
        <x:v>111703.69729728773</x:v>
      </x:c>
      <x:c r="K10" s="9" t="n">
        <x:f>K9+J10</x:f>
        <x:v>-1044761.2126123022</x:v>
      </x:c>
      <x:c r="L10" s="2" t="n">
        <x:f>IF(K10&gt;=0,1,0)</x:f>
        <x:v>0</x:v>
      </x:c>
    </x:row>
    <x:row r="11" ht="27" customHeight="1">
      <x:c r="A11" s="2" t="n">
        <x:f>A10+1</x:f>
        <x:v>7</x:v>
      </x:c>
      <x:c r="B11" s="18" t="n">
        <x:f>E10</x:f>
        <x:v>83.51399753550001</x:v>
      </x:c>
      <x:c r="C11" s="18" t="n">
        <x:f>'Допущения'!D56</x:f>
        <x:v>15</x:v>
      </x:c>
      <x:c r="D11" s="18" t="n">
        <x:f>B11*'Допущения'!D53</x:f>
        <x:v>2.505419926065</x:v>
      </x:c>
      <x:c r="E11" s="18" t="n">
        <x:f>B11+C11-D11</x:f>
        <x:v>96.00857760943501</x:v>
      </x:c>
      <x:c r="F11" s="9" t="n">
        <x:f>E11*'Юнит MWS'!D23</x:f>
        <x:v>284194.9905816886</x:v>
      </x:c>
      <x:c r="G11" s="9" t="n">
        <x:f>E11*('Юнит MWS'!D18+'Юнит MWS'!D24)</x:f>
        <x:v>38662.65420331948</x:v>
      </x:c>
      <x:c r="H11" s="9" t="n">
        <x:f>C11*'Юнит MWS'!D27</x:f>
        <x:v>61875</x:v>
      </x:c>
      <x:c r="I11" s="9" t="n">
        <x:f>'Допущения'!D54</x:f>
        <x:v>40000</x:v>
      </x:c>
      <x:c r="J11" s="9" t="n">
        <x:f>F11-G11-H11-I11</x:f>
        <x:v>143657.3363783691</x:v>
      </x:c>
      <x:c r="K11" s="9" t="n">
        <x:f>K10+J11</x:f>
        <x:v>-901103.876233933</x:v>
      </x:c>
      <x:c r="L11" s="2" t="n">
        <x:f>IF(K11&gt;=0,1,0)</x:f>
        <x:v>0</x:v>
      </x:c>
    </x:row>
    <x:row r="12" ht="27" customHeight="1">
      <x:c r="A12" s="2" t="n">
        <x:f>A11+1</x:f>
        <x:v>8</x:v>
      </x:c>
      <x:c r="B12" s="18" t="n">
        <x:f>E11</x:f>
        <x:v>96.00857760943501</x:v>
      </x:c>
      <x:c r="C12" s="18" t="n">
        <x:f>'Допущения'!D56</x:f>
        <x:v>15</x:v>
      </x:c>
      <x:c r="D12" s="18" t="n">
        <x:f>B12*'Допущения'!D53</x:f>
        <x:v>2.88025732828305</x:v>
      </x:c>
      <x:c r="E12" s="18" t="n">
        <x:f>B12+C12-D12</x:f>
        <x:v>108.12832028115196</x:v>
      </x:c>
      <x:c r="F12" s="9" t="n">
        <x:f>E12*'Юнит MWS'!D23</x:f>
        <x:v>320070.6408642379</x:v>
      </x:c>
      <x:c r="G12" s="9" t="n">
        <x:f>E12*('Юнит MWS'!D18+'Юнит MWS'!D24)</x:f>
        <x:v>43543.27457721989</x:v>
      </x:c>
      <x:c r="H12" s="9" t="n">
        <x:f>C12*'Юнит MWS'!D27</x:f>
        <x:v>61875</x:v>
      </x:c>
      <x:c r="I12" s="9" t="n">
        <x:f>'Допущения'!D54</x:f>
        <x:v>40000</x:v>
      </x:c>
      <x:c r="J12" s="9" t="n">
        <x:f>F12-G12-H12-I12</x:f>
        <x:v>174652.366287018</x:v>
      </x:c>
      <x:c r="K12" s="9" t="n">
        <x:f>K11+J12</x:f>
        <x:v>-726451.5099469151</x:v>
      </x:c>
      <x:c r="L12" s="2" t="n">
        <x:f>IF(K12&gt;=0,1,0)</x:f>
        <x:v>0</x:v>
      </x:c>
    </x:row>
    <x:row r="13" ht="27" customHeight="1">
      <x:c r="A13" s="2" t="n">
        <x:f>A12+1</x:f>
        <x:v>9</x:v>
      </x:c>
      <x:c r="B13" s="18" t="n">
        <x:f>E12</x:f>
        <x:v>108.12832028115196</x:v>
      </x:c>
      <x:c r="C13" s="18" t="n">
        <x:f>'Допущения'!D56</x:f>
        <x:v>15</x:v>
      </x:c>
      <x:c r="D13" s="18" t="n">
        <x:f>B13*'Допущения'!D53</x:f>
        <x:v>3.2438496084345587</x:v>
      </x:c>
      <x:c r="E13" s="18" t="n">
        <x:f>B13+C13-D13</x:f>
        <x:v>119.8844706727174</x:v>
      </x:c>
      <x:c r="F13" s="9" t="n">
        <x:f>E13*'Юнит MWS'!D23</x:f>
        <x:v>354870.02163831075</x:v>
      </x:c>
      <x:c r="G13" s="9" t="n">
        <x:f>E13*('Юнит MWS'!D18+'Юнит MWS'!D24)</x:f>
        <x:v>48277.476339903296</x:v>
      </x:c>
      <x:c r="H13" s="9" t="n">
        <x:f>C13*'Юнит MWS'!D27</x:f>
        <x:v>61875</x:v>
      </x:c>
      <x:c r="I13" s="9" t="n">
        <x:f>'Допущения'!D54</x:f>
        <x:v>40000</x:v>
      </x:c>
      <x:c r="J13" s="9" t="n">
        <x:f>F13-G13-H13-I13</x:f>
        <x:v>204717.54529840744</x:v>
      </x:c>
      <x:c r="K13" s="9" t="n">
        <x:f>K12+J13</x:f>
        <x:v>-521733.96464850765</x:v>
      </x:c>
      <x:c r="L13" s="2" t="n">
        <x:f>IF(K13&gt;=0,1,0)</x:f>
        <x:v>0</x:v>
      </x:c>
    </x:row>
    <x:row r="14" ht="27" customHeight="1">
      <x:c r="A14" s="2" t="n">
        <x:f>A13+1</x:f>
        <x:v>10</x:v>
      </x:c>
      <x:c r="B14" s="18" t="n">
        <x:f>E13</x:f>
        <x:v>119.8844706727174</x:v>
      </x:c>
      <x:c r="C14" s="18" t="n">
        <x:f>'Допущения'!D56</x:f>
        <x:v>15</x:v>
      </x:c>
      <x:c r="D14" s="18" t="n">
        <x:f>B14*'Допущения'!D53</x:f>
        <x:v>3.5965341201815217</x:v>
      </x:c>
      <x:c r="E14" s="18" t="n">
        <x:f>B14+C14-D14</x:f>
        <x:v>131.28793655253585</x:v>
      </x:c>
      <x:c r="F14" s="9" t="n">
        <x:f>E14*'Юнит MWS'!D23</x:f>
        <x:v>388625.42098916136</x:v>
      </x:c>
      <x:c r="G14" s="9" t="n">
        <x:f>E14*('Юнит MWS'!D18+'Юнит MWS'!D24)</x:f>
        <x:v>52869.65204970619</x:v>
      </x:c>
      <x:c r="H14" s="9" t="n">
        <x:f>C14*'Юнит MWS'!D27</x:f>
        <x:v>61875</x:v>
      </x:c>
      <x:c r="I14" s="9" t="n">
        <x:f>'Допущения'!D54</x:f>
        <x:v>40000</x:v>
      </x:c>
      <x:c r="J14" s="9" t="n">
        <x:f>F14-G14-H14-I14</x:f>
        <x:v>233880.76893945516</x:v>
      </x:c>
      <x:c r="K14" s="9" t="n">
        <x:f>K13+J14</x:f>
        <x:v>-287853.1957090525</x:v>
      </x:c>
      <x:c r="L14" s="2" t="n">
        <x:f>IF(K14&gt;=0,1,0)</x:f>
        <x:v>0</x:v>
      </x:c>
    </x:row>
    <x:row r="15" ht="27" customHeight="1">
      <x:c r="A15" s="2" t="n">
        <x:f>A14+1</x:f>
        <x:v>11</x:v>
      </x:c>
      <x:c r="B15" s="18" t="n">
        <x:f>E14</x:f>
        <x:v>131.28793655253585</x:v>
      </x:c>
      <x:c r="C15" s="18" t="n">
        <x:f>'Допущения'!D56</x:f>
        <x:v>15</x:v>
      </x:c>
      <x:c r="D15" s="18" t="n">
        <x:f>B15*'Допущения'!D53</x:f>
        <x:v>3.9386380965760757</x:v>
      </x:c>
      <x:c r="E15" s="18" t="n">
        <x:f>B15+C15-D15</x:f>
        <x:v>142.34929845595977</x:v>
      </x:c>
      <x:c r="F15" s="9" t="n">
        <x:f>E15*'Юнит MWS'!D23</x:f>
        <x:v>421368.1583594865</x:v>
      </x:c>
      <x:c r="G15" s="9" t="n">
        <x:f>E15*('Юнит MWS'!D18+'Юнит MWS'!D24)</x:f>
        <x:v>57324.062488215</x:v>
      </x:c>
      <x:c r="H15" s="9" t="n">
        <x:f>C15*'Юнит MWS'!D27</x:f>
        <x:v>61875</x:v>
      </x:c>
      <x:c r="I15" s="9" t="n">
        <x:f>'Допущения'!D54</x:f>
        <x:v>40000</x:v>
      </x:c>
      <x:c r="J15" s="9" t="n">
        <x:f>F15-G15-H15-I15</x:f>
        <x:v>262169.0958712715</x:v>
      </x:c>
      <x:c r="K15" s="9" t="n">
        <x:f>K14+J15</x:f>
        <x:v>-25684.09983778099</x:v>
      </x:c>
      <x:c r="L15" s="2" t="n">
        <x:f>IF(K15&gt;=0,1,0)</x:f>
        <x:v>0</x:v>
      </x:c>
    </x:row>
    <x:row r="16" ht="27" customHeight="1">
      <x:c r="A16" s="2" t="n">
        <x:f>A15+1</x:f>
        <x:v>12</x:v>
      </x:c>
      <x:c r="B16" s="18" t="n">
        <x:f>E15</x:f>
        <x:v>142.34929845595977</x:v>
      </x:c>
      <x:c r="C16" s="18" t="n">
        <x:f>'Допущения'!D56</x:f>
        <x:v>15</x:v>
      </x:c>
      <x:c r="D16" s="18" t="n">
        <x:f>B16*'Допущения'!D53</x:f>
        <x:v>4.270478953678793</x:v>
      </x:c>
      <x:c r="E16" s="18" t="n">
        <x:f>B16+C16-D16</x:f>
        <x:v>153.07881950228096</x:v>
      </x:c>
      <x:c r="F16" s="9" t="n">
        <x:f>E16*'Юнит MWS'!D23</x:f>
        <x:v>453128.61360870185</x:v>
      </x:c>
      <x:c r="G16" s="9" t="n">
        <x:f>E16*('Юнит MWS'!D18+'Юнит MWS'!D24)</x:f>
        <x:v>61644.84061356854</x:v>
      </x:c>
      <x:c r="H16" s="9" t="n">
        <x:f>C16*'Юнит MWS'!D27</x:f>
        <x:v>61875</x:v>
      </x:c>
      <x:c r="I16" s="9" t="n">
        <x:f>'Допущения'!D54</x:f>
        <x:v>40000</x:v>
      </x:c>
      <x:c r="J16" s="9" t="n">
        <x:f>F16-G16-H16-I16</x:f>
        <x:v>289608.7729951333</x:v>
      </x:c>
      <x:c r="K16" s="9" t="n">
        <x:f>K15+J16</x:f>
        <x:v>263924.6731573523</x:v>
      </x:c>
      <x:c r="L16" s="2" t="n">
        <x:f>IF(K16&gt;=0,1,0)</x:f>
        <x:v>1</x:v>
      </x:c>
    </x:row>
    <x:row r="17" ht="27" customHeight="1">
      <x:c r="A17" s="2" t="n">
        <x:f>A16+1</x:f>
        <x:v>13</x:v>
      </x:c>
      <x:c r="B17" s="18" t="n">
        <x:f>E16</x:f>
        <x:v>153.07881950228096</x:v>
      </x:c>
      <x:c r="C17" s="18" t="n">
        <x:f>'Допущения'!D56</x:f>
        <x:v>15</x:v>
      </x:c>
      <x:c r="D17" s="18" t="n">
        <x:f>B17*'Допущения'!D53</x:f>
        <x:v>4.592364585068429</x:v>
      </x:c>
      <x:c r="E17" s="18" t="n">
        <x:f>B17+C17-D17</x:f>
        <x:v>163.48645491721254</x:v>
      </x:c>
      <x:c r="F17" s="9" t="n">
        <x:f>E17*'Юнит MWS'!D23</x:f>
        <x:v>483936.2552004408</x:v>
      </x:c>
      <x:c r="G17" s="9" t="n">
        <x:f>E17*('Юнит MWS'!D18+'Юнит MWS'!D24)</x:f>
        <x:v>65835.99539516149</x:v>
      </x:c>
      <x:c r="H17" s="9" t="n">
        <x:f>C17*'Юнит MWS'!D27</x:f>
        <x:v>61875</x:v>
      </x:c>
      <x:c r="I17" s="9" t="n">
        <x:f>'Допущения'!D54</x:f>
        <x:v>40000</x:v>
      </x:c>
      <x:c r="J17" s="9" t="n">
        <x:f>F17-G17-H17-I17</x:f>
        <x:v>316225.2598052793</x:v>
      </x:c>
      <x:c r="K17" s="9" t="n">
        <x:f>K16+J17</x:f>
        <x:v>580149.9329626316</x:v>
      </x:c>
      <x:c r="L17" s="2" t="n">
        <x:f>IF(K17&gt;=0,1,0)</x:f>
        <x:v>1</x:v>
      </x:c>
    </x:row>
    <x:row r="18" ht="27" customHeight="1">
      <x:c r="A18" s="2" t="n">
        <x:f>A17+1</x:f>
        <x:v>14</x:v>
      </x:c>
      <x:c r="B18" s="18" t="n">
        <x:f>E17</x:f>
        <x:v>163.48645491721254</x:v>
      </x:c>
      <x:c r="C18" s="18" t="n">
        <x:f>'Допущения'!D56</x:f>
        <x:v>15</x:v>
      </x:c>
      <x:c r="D18" s="18" t="n">
        <x:f>B18*'Допущения'!D53</x:f>
        <x:v>4.904593647516376</x:v>
      </x:c>
      <x:c r="E18" s="18" t="n">
        <x:f>B18+C18-D18</x:f>
        <x:v>173.58186126969616</x:v>
      </x:c>
      <x:c r="F18" s="9" t="n">
        <x:f>E18*'Юнит MWS'!D23</x:f>
        <x:v>513819.6675444276</x:v>
      </x:c>
      <x:c r="G18" s="9" t="n">
        <x:f>E18*('Юнит MWS'!D18+'Юнит MWS'!D24)</x:f>
        <x:v>69901.41553330664</x:v>
      </x:c>
      <x:c r="H18" s="9" t="n">
        <x:f>C18*'Юнит MWS'!D27</x:f>
        <x:v>61875</x:v>
      </x:c>
      <x:c r="I18" s="9" t="n">
        <x:f>'Допущения'!D54</x:f>
        <x:v>40000</x:v>
      </x:c>
      <x:c r="J18" s="9" t="n">
        <x:f>F18-G18-H18-I18</x:f>
        <x:v>342043.25201112096</x:v>
      </x:c>
      <x:c r="K18" s="9" t="n">
        <x:f>K17+J18</x:f>
        <x:v>922193.1849737526</x:v>
      </x:c>
      <x:c r="L18" s="2" t="n">
        <x:f>IF(K18&gt;=0,1,0)</x:f>
        <x:v>1</x:v>
      </x:c>
    </x:row>
    <x:row r="19" ht="27" customHeight="1">
      <x:c r="A19" s="2" t="n">
        <x:f>A18+1</x:f>
        <x:v>15</x:v>
      </x:c>
      <x:c r="B19" s="18" t="n">
        <x:f>E18</x:f>
        <x:v>173.58186126969616</x:v>
      </x:c>
      <x:c r="C19" s="18" t="n">
        <x:f>'Допущения'!D56</x:f>
        <x:v>15</x:v>
      </x:c>
      <x:c r="D19" s="18" t="n">
        <x:f>B19*'Допущения'!D53</x:f>
        <x:v>5.207455838090885</x:v>
      </x:c>
      <x:c r="E19" s="18" t="n">
        <x:f>B19+C19-D19</x:f>
        <x:v>183.37440543160528</x:v>
      </x:c>
      <x:c r="F19" s="9" t="n">
        <x:f>E19*'Юнит MWS'!D23</x:f>
        <x:v>542806.5775180948</x:v>
      </x:c>
      <x:c r="G19" s="9" t="n">
        <x:f>E19*('Юнит MWS'!D18+'Юнит MWS'!D24)</x:f>
        <x:v>73844.87306730745</x:v>
      </x:c>
      <x:c r="H19" s="9" t="n">
        <x:f>C19*'Юнит MWS'!D27</x:f>
        <x:v>61875</x:v>
      </x:c>
      <x:c r="I19" s="9" t="n">
        <x:f>'Допущения'!D54</x:f>
        <x:v>40000</x:v>
      </x:c>
      <x:c r="J19" s="9" t="n">
        <x:f>F19-G19-H19-I19</x:f>
        <x:v>367086.70445078734</x:v>
      </x:c>
      <x:c r="K19" s="9" t="n">
        <x:f>K18+J19</x:f>
        <x:v>1289279.8894245399</x:v>
      </x:c>
      <x:c r="L19" s="2" t="n">
        <x:f>IF(K19&gt;=0,1,0)</x:f>
        <x:v>1</x:v>
      </x:c>
    </x:row>
    <x:row r="20" ht="27" customHeight="1">
      <x:c r="A20" s="2" t="n">
        <x:f>A19+1</x:f>
        <x:v>16</x:v>
      </x:c>
      <x:c r="B20" s="18" t="n">
        <x:f>E19</x:f>
        <x:v>183.37440543160528</x:v>
      </x:c>
      <x:c r="C20" s="18" t="n">
        <x:f>'Допущения'!D56</x:f>
        <x:v>15</x:v>
      </x:c>
      <x:c r="D20" s="18" t="n">
        <x:f>B20*'Допущения'!D53</x:f>
        <x:v>5.501232162948158</x:v>
      </x:c>
      <x:c r="E20" s="18" t="n">
        <x:f>B20+C20-D20</x:f>
        <x:v>192.87317326865713</x:v>
      </x:c>
      <x:c r="F20" s="9" t="n">
        <x:f>E20*'Юнит MWS'!D23</x:f>
        <x:v>570923.880192552</x:v>
      </x:c>
      <x:c r="G20" s="9" t="n">
        <x:f>E20*('Юнит MWS'!D18+'Юнит MWS'!D24)</x:f>
        <x:v>77670.02687528823</x:v>
      </x:c>
      <x:c r="H20" s="9" t="n">
        <x:f>C20*'Юнит MWS'!D27</x:f>
        <x:v>61875</x:v>
      </x:c>
      <x:c r="I20" s="9" t="n">
        <x:f>'Допущения'!D54</x:f>
        <x:v>40000</x:v>
      </x:c>
      <x:c r="J20" s="9" t="n">
        <x:f>F20-G20-H20-I20</x:f>
        <x:v>391378.85331726377</x:v>
      </x:c>
      <x:c r="K20" s="9" t="n">
        <x:f>K19+J20</x:f>
        <x:v>1680658.7427418036</x:v>
      </x:c>
      <x:c r="L20" s="2" t="n">
        <x:f>IF(K20&gt;=0,1,0)</x:f>
        <x:v>1</x:v>
      </x:c>
    </x:row>
    <x:row r="21" ht="27" customHeight="1">
      <x:c r="A21" s="2" t="n">
        <x:f>A20+1</x:f>
        <x:v>17</x:v>
      </x:c>
      <x:c r="B21" s="18" t="n">
        <x:f>E20</x:f>
        <x:v>192.87317326865713</x:v>
      </x:c>
      <x:c r="C21" s="18" t="n">
        <x:f>'Допущения'!D56</x:f>
        <x:v>15</x:v>
      </x:c>
      <x:c r="D21" s="18" t="n">
        <x:f>B21*'Допущения'!D53</x:f>
        <x:v>5.786195198059714</x:v>
      </x:c>
      <x:c r="E21" s="18" t="n">
        <x:f>B21+C21-D21</x:f>
        <x:v>202.0869780705974</x:v>
      </x:c>
      <x:c r="F21" s="9" t="n">
        <x:f>E21*'Юнит MWS'!D23</x:f>
        <x:v>598197.6637867754</x:v>
      </x:c>
      <x:c r="G21" s="9" t="n">
        <x:f>E21*('Юнит MWS'!D18+'Юнит MWS'!D24)</x:f>
        <x:v>81380.42606902958</x:v>
      </x:c>
      <x:c r="H21" s="9" t="n">
        <x:f>C21*'Юнит MWS'!D27</x:f>
        <x:v>61875</x:v>
      </x:c>
      <x:c r="I21" s="9" t="n">
        <x:f>'Допущения'!D54</x:f>
        <x:v>40000</x:v>
      </x:c>
      <x:c r="J21" s="9" t="n">
        <x:f>F21-G21-H21-I21</x:f>
        <x:v>414942.2377177458</x:v>
      </x:c>
      <x:c r="K21" s="9" t="n">
        <x:f>K20+J21</x:f>
        <x:v>2095600.9804595495</x:v>
      </x:c>
      <x:c r="L21" s="2" t="n">
        <x:f>IF(K21&gt;=0,1,0)</x:f>
        <x:v>1</x:v>
      </x:c>
    </x:row>
    <x:row r="22" ht="27" customHeight="1">
      <x:c r="A22" s="2" t="n">
        <x:f>A21+1</x:f>
        <x:v>18</x:v>
      </x:c>
      <x:c r="B22" s="18" t="n">
        <x:f>E21</x:f>
        <x:v>202.0869780705974</x:v>
      </x:c>
      <x:c r="C22" s="18" t="n">
        <x:f>'Допущения'!D56</x:f>
        <x:v>15</x:v>
      </x:c>
      <x:c r="D22" s="18" t="n">
        <x:f>B22*'Допущения'!D53</x:f>
        <x:v>6.062609342117922</x:v>
      </x:c>
      <x:c r="E22" s="18" t="n">
        <x:f>B22+C22-D22</x:f>
        <x:v>211.0243687284795</x:v>
      </x:c>
      <x:c r="F22" s="9" t="n">
        <x:f>E22*'Юнит MWS'!D23</x:f>
        <x:v>624653.2338731721</x:v>
      </x:c>
      <x:c r="G22" s="9" t="n">
        <x:f>E22*('Юнит MWS'!D18+'Юнит MWS'!D24)</x:f>
        <x:v>84979.51328695868</x:v>
      </x:c>
      <x:c r="H22" s="9" t="n">
        <x:f>C22*'Юнит MWS'!D27</x:f>
        <x:v>61875</x:v>
      </x:c>
      <x:c r="I22" s="9" t="n">
        <x:f>'Допущения'!D54</x:f>
        <x:v>40000</x:v>
      </x:c>
      <x:c r="J22" s="9" t="n">
        <x:f>F22-G22-H22-I22</x:f>
        <x:v>437798.7205862134</x:v>
      </x:c>
      <x:c r="K22" s="9" t="n">
        <x:f>K21+J22</x:f>
        <x:v>2533399.7010457627</x:v>
      </x:c>
      <x:c r="L22" s="2" t="n">
        <x:f>IF(K22&gt;=0,1,0)</x:f>
        <x:v>1</x:v>
      </x:c>
    </x:row>
    <x:row r="23" ht="27" customHeight="1">
      <x:c r="A23" s="2" t="n">
        <x:f>A22+1</x:f>
        <x:v>19</x:v>
      </x:c>
      <x:c r="B23" s="18" t="n">
        <x:f>E22</x:f>
        <x:v>211.0243687284795</x:v>
      </x:c>
      <x:c r="C23" s="18" t="n">
        <x:f>'Допущения'!D56</x:f>
        <x:v>15</x:v>
      </x:c>
      <x:c r="D23" s="18" t="n">
        <x:f>B23*'Допущения'!D53</x:f>
        <x:v>6.330731061854384</x:v>
      </x:c>
      <x:c r="E23" s="18" t="n">
        <x:f>B23+C23-D23</x:f>
        <x:v>219.6936376666251</x:v>
      </x:c>
      <x:c r="F23" s="9" t="n">
        <x:f>E23*'Юнит MWS'!D23</x:f>
        <x:v>650315.136856977</x:v>
      </x:c>
      <x:c r="G23" s="9" t="n">
        <x:f>E23*('Юнит MWS'!D18+'Юнит MWS'!D24)</x:f>
        <x:v>88470.62788834993</x:v>
      </x:c>
      <x:c r="H23" s="9" t="n">
        <x:f>C23*'Юнит MWS'!D27</x:f>
        <x:v>61875</x:v>
      </x:c>
      <x:c r="I23" s="9" t="n">
        <x:f>'Допущения'!D54</x:f>
        <x:v>40000</x:v>
      </x:c>
      <x:c r="J23" s="9" t="n">
        <x:f>F23-G23-H23-I23</x:f>
        <x:v>459969.5089686271</x:v>
      </x:c>
      <x:c r="K23" s="9" t="n">
        <x:f>K22+J23</x:f>
        <x:v>2993369.21001439</x:v>
      </x:c>
      <x:c r="L23" s="2" t="n">
        <x:f>IF(K23&gt;=0,1,0)</x:f>
        <x:v>1</x:v>
      </x:c>
    </x:row>
    <x:row r="24" ht="27" customHeight="1">
      <x:c r="A24" s="2" t="n">
        <x:f>A23+1</x:f>
        <x:v>20</x:v>
      </x:c>
      <x:c r="B24" s="18" t="n">
        <x:f>E23</x:f>
        <x:v>219.6936376666251</x:v>
      </x:c>
      <x:c r="C24" s="18" t="n">
        <x:f>'Допущения'!D56</x:f>
        <x:v>15</x:v>
      </x:c>
      <x:c r="D24" s="18" t="n">
        <x:f>B24*'Допущения'!D53</x:f>
        <x:v>6.590809129998753</x:v>
      </x:c>
      <x:c r="E24" s="18" t="n">
        <x:f>B24+C24-D24</x:f>
        <x:v>228.10282853662636</x:v>
      </x:c>
      <x:c r="F24" s="9" t="n">
        <x:f>E24*'Юнит MWS'!D23</x:f>
        <x:v>675207.1827512677</x:v>
      </x:c>
      <x:c r="G24" s="9" t="n">
        <x:f>E24*('Юнит MWS'!D18+'Юнит MWS'!D24)</x:f>
        <x:v>91857.00905169944</x:v>
      </x:c>
      <x:c r="H24" s="9" t="n">
        <x:f>C24*'Юнит MWS'!D27</x:f>
        <x:v>61875</x:v>
      </x:c>
      <x:c r="I24" s="9" t="n">
        <x:f>'Допущения'!D54</x:f>
        <x:v>40000</x:v>
      </x:c>
      <x:c r="J24" s="9" t="n">
        <x:f>F24-G24-H24-I24</x:f>
        <x:v>481475.17369956826</x:v>
      </x:c>
      <x:c r="K24" s="9" t="n">
        <x:f>K23+J24</x:f>
        <x:v>3474844.383713958</x:v>
      </x:c>
      <x:c r="L24" s="2" t="n">
        <x:f>IF(K24&gt;=0,1,0)</x:f>
        <x:v>1</x:v>
      </x:c>
    </x:row>
    <x:row r="25" ht="27" customHeight="1">
      <x:c r="A25" s="2" t="n">
        <x:f>A24+1</x:f>
        <x:v>21</x:v>
      </x:c>
      <x:c r="B25" s="18" t="n">
        <x:f>E24</x:f>
        <x:v>228.10282853662636</x:v>
      </x:c>
      <x:c r="C25" s="18" t="n">
        <x:f>'Допущения'!D56</x:f>
        <x:v>15</x:v>
      </x:c>
      <x:c r="D25" s="18" t="n">
        <x:f>B25*'Допущения'!D53</x:f>
        <x:v>6.84308485609879</x:v>
      </x:c>
      <x:c r="E25" s="18" t="n">
        <x:f>B25+C25-D25</x:f>
        <x:v>236.25974368052758</x:v>
      </x:c>
      <x:c r="F25" s="9" t="n">
        <x:f>E25*'Юнит MWS'!D23</x:f>
        <x:v>699352.4672687297</x:v>
      </x:c>
      <x:c r="G25" s="9" t="n">
        <x:f>E25*('Юнит MWS'!D18+'Юнит MWS'!D24)</x:f>
        <x:v>95141.79878014846</x:v>
      </x:c>
      <x:c r="H25" s="9" t="n">
        <x:f>C25*'Юнит MWS'!D27</x:f>
        <x:v>61875</x:v>
      </x:c>
      <x:c r="I25" s="9" t="n">
        <x:f>'Допущения'!D54</x:f>
        <x:v>40000</x:v>
      </x:c>
      <x:c r="J25" s="9" t="n">
        <x:f>F25-G25-H25-I25</x:f>
        <x:v>502335.6684885812</x:v>
      </x:c>
      <x:c r="K25" s="9" t="n">
        <x:f>K24+J25</x:f>
        <x:v>3977180.052202539</x:v>
      </x:c>
      <x:c r="L25" s="2" t="n">
        <x:f>IF(K25&gt;=0,1,0)</x:f>
        <x:v>1</x:v>
      </x:c>
    </x:row>
    <x:row r="26" ht="27" customHeight="1">
      <x:c r="A26" s="2" t="n">
        <x:f>A25+1</x:f>
        <x:v>22</x:v>
      </x:c>
      <x:c r="B26" s="18" t="n">
        <x:f>E25</x:f>
        <x:v>236.25974368052758</x:v>
      </x:c>
      <x:c r="C26" s="18" t="n">
        <x:f>'Допущения'!D56</x:f>
        <x:v>15</x:v>
      </x:c>
      <x:c r="D26" s="18" t="n">
        <x:f>B26*'Допущения'!D53</x:f>
        <x:v>7.087792310415827</x:v>
      </x:c>
      <x:c r="E26" s="18" t="n">
        <x:f>B26+C26-D26</x:f>
        <x:v>244.17195137011174</x:v>
      </x:c>
      <x:c r="F26" s="9" t="n">
        <x:f>E26*'Юнит MWS'!D23</x:f>
        <x:v>722773.3932506677</x:v>
      </x:c>
      <x:c r="G26" s="9" t="n">
        <x:f>E26*('Юнит MWS'!D18+'Юнит MWS'!D24)</x:f>
        <x:v>98328.04481674399</x:v>
      </x:c>
      <x:c r="H26" s="9" t="n">
        <x:f>C26*'Юнит MWS'!D27</x:f>
        <x:v>61875</x:v>
      </x:c>
      <x:c r="I26" s="9" t="n">
        <x:f>'Допущения'!D54</x:f>
        <x:v>40000</x:v>
      </x:c>
      <x:c r="J26" s="9" t="n">
        <x:f>F26-G26-H26-I26</x:f>
        <x:v>522570.3484339237</x:v>
      </x:c>
      <x:c r="K26" s="9" t="n">
        <x:f>K25+J26</x:f>
        <x:v>4499750.4006364625</x:v>
      </x:c>
      <x:c r="L26" s="2" t="n">
        <x:f>IF(K26&gt;=0,1,0)</x:f>
        <x:v>1</x:v>
      </x:c>
    </x:row>
    <x:row r="27" ht="27" customHeight="1">
      <x:c r="A27" s="2" t="n">
        <x:f>A26+1</x:f>
        <x:v>23</x:v>
      </x:c>
      <x:c r="B27" s="18" t="n">
        <x:f>E26</x:f>
        <x:v>244.17195137011174</x:v>
      </x:c>
      <x:c r="C27" s="18" t="n">
        <x:f>'Допущения'!D56</x:f>
        <x:v>15</x:v>
      </x:c>
      <x:c r="D27" s="18" t="n">
        <x:f>B27*'Допущения'!D53</x:f>
        <x:v>7.325158541103352</x:v>
      </x:c>
      <x:c r="E27" s="18" t="n">
        <x:f>B27+C27-D27</x:f>
        <x:v>251.8467928290084</x:v>
      </x:c>
      <x:c r="F27" s="9" t="n">
        <x:f>E27*'Юнит MWS'!D23</x:f>
        <x:v>745491.6914531477</x:v>
      </x:c>
      <x:c r="G27" s="9" t="n">
        <x:f>E27*('Юнит MWS'!D18+'Юнит MWS'!D24)</x:f>
        <x:v>101418.70347224167</x:v>
      </x:c>
      <x:c r="H27" s="9" t="n">
        <x:f>C27*'Юнит MWS'!D27</x:f>
        <x:v>61875</x:v>
      </x:c>
      <x:c r="I27" s="9" t="n">
        <x:f>'Допущения'!D54</x:f>
        <x:v>40000</x:v>
      </x:c>
      <x:c r="J27" s="9" t="n">
        <x:f>F27-G27-H27-I27</x:f>
        <x:v>542197.987980906</x:v>
      </x:c>
      <x:c r="K27" s="9" t="n">
        <x:f>K26+J27</x:f>
        <x:v>5041948.388617368</x:v>
      </x:c>
      <x:c r="L27" s="2" t="n">
        <x:f>IF(K27&gt;=0,1,0)</x:f>
        <x:v>1</x:v>
      </x:c>
    </x:row>
    <x:row r="28" ht="27" customHeight="1">
      <x:c r="A28" s="2" t="n">
        <x:f>A27+1</x:f>
        <x:v>24</x:v>
      </x:c>
      <x:c r="B28" s="18" t="n">
        <x:f>E27</x:f>
        <x:v>251.8467928290084</x:v>
      </x:c>
      <x:c r="C28" s="18" t="n">
        <x:f>'Допущения'!D56</x:f>
        <x:v>15</x:v>
      </x:c>
      <x:c r="D28" s="18" t="n">
        <x:f>B28*'Допущения'!D53</x:f>
        <x:v>7.5554037848702515</x:v>
      </x:c>
      <x:c r="E28" s="18" t="n">
        <x:f>B28+C28-D28</x:f>
        <x:v>259.29138904413816</x:v>
      </x:c>
      <x:c r="F28" s="9" t="n">
        <x:f>E28*'Юнит MWS'!D23</x:f>
        <x:v>767528.4407095533</x:v>
      </x:c>
      <x:c r="G28" s="9" t="n">
        <x:f>E28*('Юнит MWS'!D18+'Юнит MWS'!D24)</x:f>
        <x:v>104416.64236807443</x:v>
      </x:c>
      <x:c r="H28" s="9" t="n">
        <x:f>C28*'Юнит MWS'!D27</x:f>
        <x:v>61875</x:v>
      </x:c>
      <x:c r="I28" s="9" t="n">
        <x:f>'Допущения'!D54</x:f>
        <x:v>40000</x:v>
      </x:c>
      <x:c r="J28" s="9" t="n">
        <x:f>F28-G28-H28-I28</x:f>
        <x:v>561236.7983414789</x:v>
      </x:c>
      <x:c r="K28" s="9" t="n">
        <x:f>K27+J28</x:f>
        <x:v>5603185.186958848</x:v>
      </x:c>
      <x:c r="L28" s="2" t="n">
        <x:f>IF(K28&gt;=0,1,0)</x:f>
        <x:v>1</x:v>
      </x:c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42" customHeight="1">
      <x:c r="A30" s="30" t="str">
        <x:v>Ушедшие исключаются в начале месяца, новые оплачивают полный месяц. Дробные аккаунты — математическое ожидание. Привлечение равномерное, рост без сезонности; это сценарий, не прогноз.</x:v>
      </x:c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42" customHeight="1">
      <x:c r="A32" s="30" t="str">
        <x:v>R&amp;D вычтено один раз в начале. Годовая предоплата, налоги на прибыль, дебиторка и возвраты по месяцам не моделируются. Новые подключения не ограничены реальной базой MWS — она неизвестна.</x:v>
      </x:c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2"/>
    </x:row>
    <x:row r="33" ht="27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mergeCells>
    <x:mergeCell ref="A1:L1"/>
    <x:mergeCell ref="A2:L2"/>
    <x:mergeCell ref="A30:K30"/>
    <x:mergeCell ref="A32:K32"/>
  </x:mergeCells>
  <x:conditionalFormatting sqref="K5:K28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4" customHeight="1">
      <x:c r="A1" s="4" t="str">
        <x:v>Нагрузка и цена · где возникает убыток</x:v>
      </x:c>
      <x:c r="B1" s="4"/>
      <x:c r="C1" s="4"/>
      <x:c r="D1" s="4"/>
      <x:c r="E1" s="4"/>
      <x:c r="F1" s="4"/>
    </x:row>
    <x:row r="2" ht="35" customHeight="1">
      <x:c r="A2" s="6" t="str">
        <x:v>Базовые затраты. В таблицах — вклад одного платящего аккаунта, ₽/мес., до продаж и постоянного Opex.</x:v>
      </x:c>
      <x:c r="B2" s="6"/>
      <x:c r="C2" s="6"/>
      <x:c r="D2" s="6"/>
      <x:c r="E2" s="6"/>
      <x:c r="F2" s="6"/>
    </x:row>
    <x:row r="3" ht="27" customHeight="1">
      <x:c r="A3" s="2"/>
      <x:c r="B3" s="2"/>
      <x:c r="C3" s="2"/>
      <x:c r="D3" s="2"/>
      <x:c r="E3" s="2"/>
      <x:c r="F3" s="2"/>
    </x:row>
    <x:row r="4" ht="28" customHeight="1">
      <x:c r="A4" s="28" t="str">
        <x:v>Фиксированная абонплата БЕЗ доплаты за объём</x:v>
      </x:c>
      <x:c r="B4" s="28"/>
      <x:c r="C4" s="28"/>
      <x:c r="D4" s="28"/>
      <x:c r="E4" s="28"/>
      <x:c r="F4" s="28"/>
    </x:row>
    <x:row r="5" ht="27" customHeight="1">
      <x:c r="A5" s="2" t="str">
        <x:v>Заявок / цена, ₽</x:v>
      </x:c>
      <x:c r="B5" s="33" t="n">
        <x:v>500</x:v>
      </x:c>
      <x:c r="C5" s="33" t="n">
        <x:v>1490</x:v>
      </x:c>
      <x:c r="D5" s="33" t="n">
        <x:v>2990</x:v>
      </x:c>
      <x:c r="E5" s="33" t="n">
        <x:v>4990</x:v>
      </x:c>
      <x:c r="F5" s="33" t="n">
        <x:v>9990</x:v>
      </x:c>
    </x:row>
    <x:row r="6" ht="27" customHeight="1">
      <x:c r="A6" s="32" t="n">
        <x:v>20</x:v>
      </x:c>
      <x:c r="B6" s="9" t="n">
        <x:f>B$5*((1-'Допущения'!$D$65)/(1+'Допущения'!$D$10)-'Допущения'!$D$43)-'Юнит MWS'!$D$16-$A6*'Юнит MWS'!$D$17</x:f>
        <x:v>314</x:v>
      </x:c>
      <x:c r="C6" s="9" t="n">
        <x:f>C$5*((1-'Допущения'!$D$65)/(1+'Допущения'!$D$10)-'Допущения'!$D$43)-'Юнит MWS'!$D$16-$A6*'Юнит MWS'!$D$17</x:f>
        <x:v>1264.3999999999999</x:v>
      </x:c>
      <x:c r="D6" s="9" t="n">
        <x:f>D$5*((1-'Допущения'!$D$65)/(1+'Допущения'!$D$10)-'Допущения'!$D$43)-'Юнит MWS'!$D$16-$A6*'Юнит MWS'!$D$17</x:f>
        <x:v>2704.4</x:v>
      </x:c>
      <x:c r="E6" s="9" t="n">
        <x:f>E$5*((1-'Допущения'!$D$65)/(1+'Допущения'!$D$10)-'Допущения'!$D$43)-'Юнит MWS'!$D$16-$A6*'Юнит MWS'!$D$17</x:f>
        <x:v>4624.4</x:v>
      </x:c>
      <x:c r="F6" s="9" t="n">
        <x:f>F$5*((1-'Допущения'!$D$65)/(1+'Допущения'!$D$10)-'Допущения'!$D$43)-'Юнит MWS'!$D$16-$A6*'Юнит MWS'!$D$17</x:f>
        <x:v>9424.4</x:v>
      </x:c>
    </x:row>
    <x:row r="7" ht="27" customHeight="1">
      <x:c r="A7" s="32" t="n">
        <x:v>200</x:v>
      </x:c>
      <x:c r="B7" s="9" t="n">
        <x:f>B$5*((1-'Допущения'!$D$65)/(1+'Допущения'!$D$10)-'Допущения'!$D$43)-'Юнит MWS'!$D$16-$A7*'Юнит MWS'!$D$17</x:f>
        <x:v>125</x:v>
      </x:c>
      <x:c r="C7" s="9" t="n">
        <x:f>C$5*((1-'Допущения'!$D$65)/(1+'Допущения'!$D$10)-'Допущения'!$D$43)-'Юнит MWS'!$D$16-$A7*'Юнит MWS'!$D$17</x:f>
        <x:v>1075.3999999999999</x:v>
      </x:c>
      <x:c r="D7" s="9" t="n">
        <x:f>D$5*((1-'Допущения'!$D$65)/(1+'Допущения'!$D$10)-'Допущения'!$D$43)-'Юнит MWS'!$D$16-$A7*'Юнит MWS'!$D$17</x:f>
        <x:v>2515.4</x:v>
      </x:c>
      <x:c r="E7" s="9" t="n">
        <x:f>E$5*((1-'Допущения'!$D$65)/(1+'Допущения'!$D$10)-'Допущения'!$D$43)-'Юнит MWS'!$D$16-$A7*'Юнит MWS'!$D$17</x:f>
        <x:v>4435.4</x:v>
      </x:c>
      <x:c r="F7" s="9" t="n">
        <x:f>F$5*((1-'Допущения'!$D$65)/(1+'Допущения'!$D$10)-'Допущения'!$D$43)-'Юнит MWS'!$D$16-$A7*'Юнит MWS'!$D$17</x:f>
        <x:v>9235.4</x:v>
      </x:c>
    </x:row>
    <x:row r="8" ht="27" customHeight="1">
      <x:c r="A8" s="32" t="n">
        <x:v>1000</x:v>
      </x:c>
      <x:c r="B8" s="9" t="n">
        <x:f>B$5*((1-'Допущения'!$D$65)/(1+'Допущения'!$D$10)-'Допущения'!$D$43)-'Юнит MWS'!$D$16-$A8*'Юнит MWS'!$D$17</x:f>
        <x:v>-715</x:v>
      </x:c>
      <x:c r="C8" s="9" t="n">
        <x:f>C$5*((1-'Допущения'!$D$65)/(1+'Допущения'!$D$10)-'Допущения'!$D$43)-'Юнит MWS'!$D$16-$A8*'Юнит MWS'!$D$17</x:f>
        <x:v>235.39999999999986</x:v>
      </x:c>
      <x:c r="D8" s="9" t="n">
        <x:f>D$5*((1-'Допущения'!$D$65)/(1+'Допущения'!$D$10)-'Допущения'!$D$43)-'Юнит MWS'!$D$16-$A8*'Юнит MWS'!$D$17</x:f>
        <x:v>1675.4</x:v>
      </x:c>
      <x:c r="E8" s="9" t="n">
        <x:f>E$5*((1-'Допущения'!$D$65)/(1+'Допущения'!$D$10)-'Допущения'!$D$43)-'Юнит MWS'!$D$16-$A8*'Юнит MWS'!$D$17</x:f>
        <x:v>3595.3999999999996</x:v>
      </x:c>
      <x:c r="F8" s="9" t="n">
        <x:f>F$5*((1-'Допущения'!$D$65)/(1+'Допущения'!$D$10)-'Допущения'!$D$43)-'Юнит MWS'!$D$16-$A8*'Юнит MWS'!$D$17</x:f>
        <x:v>8395.4</x:v>
      </x:c>
    </x:row>
    <x:row r="9" ht="27" customHeight="1">
      <x:c r="A9" s="32" t="n">
        <x:v>5000</x:v>
      </x:c>
      <x:c r="B9" s="9" t="n">
        <x:f>B$5*((1-'Допущения'!$D$65)/(1+'Допущения'!$D$10)-'Допущения'!$D$43)-'Юнит MWS'!$D$16-$A9*'Юнит MWS'!$D$17</x:f>
        <x:v>-4915</x:v>
      </x:c>
      <x:c r="C9" s="9" t="n">
        <x:f>C$5*((1-'Допущения'!$D$65)/(1+'Допущения'!$D$10)-'Допущения'!$D$43)-'Юнит MWS'!$D$16-$A9*'Юнит MWS'!$D$17</x:f>
        <x:v>-3964.6000000000004</x:v>
      </x:c>
      <x:c r="D9" s="9" t="n">
        <x:f>D$5*((1-'Допущения'!$D$65)/(1+'Допущения'!$D$10)-'Допущения'!$D$43)-'Юнит MWS'!$D$16-$A9*'Юнит MWS'!$D$17</x:f>
        <x:v>-2524.6</x:v>
      </x:c>
      <x:c r="E9" s="9" t="n">
        <x:f>E$5*((1-'Допущения'!$D$65)/(1+'Допущения'!$D$10)-'Допущения'!$D$43)-'Юнит MWS'!$D$16-$A9*'Юнит MWS'!$D$17</x:f>
        <x:v>-604.6000000000004</x:v>
      </x:c>
      <x:c r="F9" s="9" t="n">
        <x:f>F$5*((1-'Допущения'!$D$65)/(1+'Допущения'!$D$10)-'Допущения'!$D$43)-'Юнит MWS'!$D$16-$A9*'Юнит MWS'!$D$17</x:f>
        <x:v>4195.4</x:v>
      </x:c>
    </x:row>
    <x:row r="10" ht="27" customHeight="1">
      <x:c r="A10" s="32" t="n">
        <x:v>10000</x:v>
      </x:c>
      <x:c r="B10" s="9" t="n">
        <x:f>B$5*((1-'Допущения'!$D$65)/(1+'Допущения'!$D$10)-'Допущения'!$D$43)-'Юнит MWS'!$D$16-$A10*'Юнит MWS'!$D$17</x:f>
        <x:v>-10165</x:v>
      </x:c>
      <x:c r="C10" s="9" t="n">
        <x:f>C$5*((1-'Допущения'!$D$65)/(1+'Допущения'!$D$10)-'Допущения'!$D$43)-'Юнит MWS'!$D$16-$A10*'Юнит MWS'!$D$17</x:f>
        <x:v>-9214.6</x:v>
      </x:c>
      <x:c r="D10" s="9" t="n">
        <x:f>D$5*((1-'Допущения'!$D$65)/(1+'Допущения'!$D$10)-'Допущения'!$D$43)-'Юнит MWS'!$D$16-$A10*'Юнит MWS'!$D$17</x:f>
        <x:v>-7774.6</x:v>
      </x:c>
      <x:c r="E10" s="9" t="n">
        <x:f>E$5*((1-'Допущения'!$D$65)/(1+'Допущения'!$D$10)-'Допущения'!$D$43)-'Юнит MWS'!$D$16-$A10*'Юнит MWS'!$D$17</x:f>
        <x:v>-5854.6</x:v>
      </x:c>
      <x:c r="F10" s="9" t="n">
        <x:f>F$5*((1-'Допущения'!$D$65)/(1+'Допущения'!$D$10)-'Допущения'!$D$43)-'Юнит MWS'!$D$16-$A10*'Юнит MWS'!$D$17</x:f>
        <x:v>-1054.6000000000004</x:v>
      </x:c>
    </x:row>
    <x:row r="11" ht="27" customHeight="1">
      <x:c r="A11" s="2"/>
      <x:c r="B11" s="2"/>
      <x:c r="C11" s="2"/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  <x:row r="13" ht="28" customHeight="1">
      <x:c r="A13" s="28" t="str">
        <x:v>Тот же фиксированный чек + квота и overage из Допущений</x:v>
      </x:c>
      <x:c r="B13" s="28"/>
      <x:c r="C13" s="28"/>
      <x:c r="D13" s="28"/>
      <x:c r="E13" s="28"/>
      <x:c r="F13" s="28"/>
    </x:row>
    <x:row r="14" ht="27" customHeight="1">
      <x:c r="A14" s="2" t="str">
        <x:v>Заявок / цена, ₽</x:v>
      </x:c>
      <x:c r="B14" s="9" t="n">
        <x:f>B5</x:f>
        <x:v>500</x:v>
      </x:c>
      <x:c r="C14" s="9" t="n">
        <x:f>C5</x:f>
        <x:v>1490</x:v>
      </x:c>
      <x:c r="D14" s="9" t="n">
        <x:f>D5</x:f>
        <x:v>2990</x:v>
      </x:c>
      <x:c r="E14" s="9" t="n">
        <x:f>E5</x:f>
        <x:v>4990</x:v>
      </x:c>
      <x:c r="F14" s="9" t="n">
        <x:f>F5</x:f>
        <x:v>9990</x:v>
      </x:c>
    </x:row>
    <x:row r="15" ht="27" customHeight="1">
      <x:c r="A15" s="2" t="n">
        <x:f>A6</x:f>
        <x:v>20</x:v>
      </x:c>
      <x:c r="B15" s="9" t="n">
        <x:f>(B$14+MAX(0,$A15-'Допущения'!$D$48)*'Допущения'!$D$49)*((1-'Допущения'!$D$65)/(1+'Допущения'!$D$10)-'Допущения'!$D$43)-'Юнит MWS'!$D$16-$A15*'Юнит MWS'!$D$17</x:f>
        <x:v>314</x:v>
      </x:c>
      <x:c r="C15" s="9" t="n">
        <x:f>(C$14+MAX(0,$A15-'Допущения'!$D$48)*'Допущения'!$D$49)*((1-'Допущения'!$D$65)/(1+'Допущения'!$D$10)-'Допущения'!$D$43)-'Юнит MWS'!$D$16-$A15*'Юнит MWS'!$D$17</x:f>
        <x:v>1264.3999999999999</x:v>
      </x:c>
      <x:c r="D15" s="9" t="n">
        <x:f>(D$14+MAX(0,$A15-'Допущения'!$D$48)*'Допущения'!$D$49)*((1-'Допущения'!$D$65)/(1+'Допущения'!$D$10)-'Допущения'!$D$43)-'Юнит MWS'!$D$16-$A15*'Юнит MWS'!$D$17</x:f>
        <x:v>2704.4</x:v>
      </x:c>
      <x:c r="E15" s="9" t="n">
        <x:f>(E$14+MAX(0,$A15-'Допущения'!$D$48)*'Допущения'!$D$49)*((1-'Допущения'!$D$65)/(1+'Допущения'!$D$10)-'Допущения'!$D$43)-'Юнит MWS'!$D$16-$A15*'Юнит MWS'!$D$17</x:f>
        <x:v>4624.4</x:v>
      </x:c>
      <x:c r="F15" s="9" t="n">
        <x:f>(F$14+MAX(0,$A15-'Допущения'!$D$48)*'Допущения'!$D$49)*((1-'Допущения'!$D$65)/(1+'Допущения'!$D$10)-'Допущения'!$D$43)-'Юнит MWS'!$D$16-$A15*'Юнит MWS'!$D$17</x:f>
        <x:v>9424.4</x:v>
      </x:c>
    </x:row>
    <x:row r="16" ht="27" customHeight="1">
      <x:c r="A16" s="2" t="n">
        <x:f>A7</x:f>
        <x:v>200</x:v>
      </x:c>
      <x:c r="B16" s="9" t="n">
        <x:f>(B$14+MAX(0,$A16-'Допущения'!$D$48)*'Допущения'!$D$49)*((1-'Допущения'!$D$65)/(1+'Допущения'!$D$10)-'Допущения'!$D$43)-'Юнит MWS'!$D$16-$A16*'Юнит MWS'!$D$17</x:f>
        <x:v>125</x:v>
      </x:c>
      <x:c r="C16" s="9" t="n">
        <x:f>(C$14+MAX(0,$A16-'Допущения'!$D$48)*'Допущения'!$D$49)*((1-'Допущения'!$D$65)/(1+'Допущения'!$D$10)-'Допущения'!$D$43)-'Юнит MWS'!$D$16-$A16*'Юнит MWS'!$D$17</x:f>
        <x:v>1075.3999999999999</x:v>
      </x:c>
      <x:c r="D16" s="9" t="n">
        <x:f>(D$14+MAX(0,$A16-'Допущения'!$D$48)*'Допущения'!$D$49)*((1-'Допущения'!$D$65)/(1+'Допущения'!$D$10)-'Допущения'!$D$43)-'Юнит MWS'!$D$16-$A16*'Юнит MWS'!$D$17</x:f>
        <x:v>2515.4</x:v>
      </x:c>
      <x:c r="E16" s="9" t="n">
        <x:f>(E$14+MAX(0,$A16-'Допущения'!$D$48)*'Допущения'!$D$49)*((1-'Допущения'!$D$65)/(1+'Допущения'!$D$10)-'Допущения'!$D$43)-'Юнит MWS'!$D$16-$A16*'Юнит MWS'!$D$17</x:f>
        <x:v>4435.4</x:v>
      </x:c>
      <x:c r="F16" s="9" t="n">
        <x:f>(F$14+MAX(0,$A16-'Допущения'!$D$48)*'Допущения'!$D$49)*((1-'Допущения'!$D$65)/(1+'Допущения'!$D$10)-'Допущения'!$D$43)-'Юнит MWS'!$D$16-$A16*'Юнит MWS'!$D$17</x:f>
        <x:v>9235.4</x:v>
      </x:c>
    </x:row>
    <x:row r="17" ht="27" customHeight="1">
      <x:c r="A17" s="2" t="n">
        <x:f>A8</x:f>
        <x:v>1000</x:v>
      </x:c>
      <x:c r="B17" s="9" t="n">
        <x:f>(B$14+MAX(0,$A17-'Допущения'!$D$48)*'Допущения'!$D$49)*((1-'Допущения'!$D$65)/(1+'Допущения'!$D$10)-'Допущения'!$D$43)-'Юнит MWS'!$D$16-$A17*'Юнит MWS'!$D$17</x:f>
        <x:v>10805</x:v>
      </x:c>
      <x:c r="C17" s="9" t="n">
        <x:f>(C$14+MAX(0,$A17-'Допущения'!$D$48)*'Допущения'!$D$49)*((1-'Допущения'!$D$65)/(1+'Допущения'!$D$10)-'Допущения'!$D$43)-'Юнит MWS'!$D$16-$A17*'Юнит MWS'!$D$17</x:f>
        <x:v>11755.4</x:v>
      </x:c>
      <x:c r="D17" s="9" t="n">
        <x:f>(D$14+MAX(0,$A17-'Допущения'!$D$48)*'Допущения'!$D$49)*((1-'Допущения'!$D$65)/(1+'Допущения'!$D$10)-'Допущения'!$D$43)-'Юнит MWS'!$D$16-$A17*'Юнит MWS'!$D$17</x:f>
        <x:v>13195.4</x:v>
      </x:c>
      <x:c r="E17" s="9" t="n">
        <x:f>(E$14+MAX(0,$A17-'Допущения'!$D$48)*'Допущения'!$D$49)*((1-'Допущения'!$D$65)/(1+'Допущения'!$D$10)-'Допущения'!$D$43)-'Юнит MWS'!$D$16-$A17*'Юнит MWS'!$D$17</x:f>
        <x:v>15115.4</x:v>
      </x:c>
      <x:c r="F17" s="9" t="n">
        <x:f>(F$14+MAX(0,$A17-'Допущения'!$D$48)*'Допущения'!$D$49)*((1-'Допущения'!$D$65)/(1+'Допущения'!$D$10)-'Допущения'!$D$43)-'Юнит MWS'!$D$16-$A17*'Юнит MWS'!$D$17</x:f>
        <x:v>19915.399999999998</x:v>
      </x:c>
    </x:row>
    <x:row r="18" ht="27" customHeight="1">
      <x:c r="A18" s="2" t="n">
        <x:f>A9</x:f>
        <x:v>5000</x:v>
      </x:c>
      <x:c r="B18" s="9" t="n">
        <x:f>(B$14+MAX(0,$A18-'Допущения'!$D$48)*'Допущения'!$D$49)*((1-'Допущения'!$D$65)/(1+'Допущения'!$D$10)-'Допущения'!$D$43)-'Юнит MWS'!$D$16-$A18*'Юнит MWS'!$D$17</x:f>
        <x:v>64205</x:v>
      </x:c>
      <x:c r="C18" s="9" t="n">
        <x:f>(C$14+MAX(0,$A18-'Допущения'!$D$48)*'Допущения'!$D$49)*((1-'Допущения'!$D$65)/(1+'Допущения'!$D$10)-'Допущения'!$D$43)-'Юнит MWS'!$D$16-$A18*'Юнит MWS'!$D$17</x:f>
        <x:v>65155.399999999994</x:v>
      </x:c>
      <x:c r="D18" s="9" t="n">
        <x:f>(D$14+MAX(0,$A18-'Допущения'!$D$48)*'Допущения'!$D$49)*((1-'Допущения'!$D$65)/(1+'Допущения'!$D$10)-'Допущения'!$D$43)-'Юнит MWS'!$D$16-$A18*'Юнит MWS'!$D$17</x:f>
        <x:v>66595.4</x:v>
      </x:c>
      <x:c r="E18" s="9" t="n">
        <x:f>(E$14+MAX(0,$A18-'Допущения'!$D$48)*'Допущения'!$D$49)*((1-'Допущения'!$D$65)/(1+'Допущения'!$D$10)-'Допущения'!$D$43)-'Юнит MWS'!$D$16-$A18*'Юнит MWS'!$D$17</x:f>
        <x:v>68515.4</x:v>
      </x:c>
      <x:c r="F18" s="9" t="n">
        <x:f>(F$14+MAX(0,$A18-'Допущения'!$D$48)*'Допущения'!$D$49)*((1-'Допущения'!$D$65)/(1+'Допущения'!$D$10)-'Допущения'!$D$43)-'Юнит MWS'!$D$16-$A18*'Юнит MWS'!$D$17</x:f>
        <x:v>73315.4</x:v>
      </x:c>
    </x:row>
    <x:row r="19" ht="27" customHeight="1">
      <x:c r="A19" s="2" t="n">
        <x:f>A10</x:f>
        <x:v>10000</x:v>
      </x:c>
      <x:c r="B19" s="9" t="n">
        <x:f>(B$14+MAX(0,$A19-'Допущения'!$D$48)*'Допущения'!$D$49)*((1-'Допущения'!$D$65)/(1+'Допущения'!$D$10)-'Допущения'!$D$43)-'Юнит MWS'!$D$16-$A19*'Юнит MWS'!$D$17</x:f>
        <x:v>130955</x:v>
      </x:c>
      <x:c r="C19" s="9" t="n">
        <x:f>(C$14+MAX(0,$A19-'Допущения'!$D$48)*'Допущения'!$D$49)*((1-'Допущения'!$D$65)/(1+'Допущения'!$D$10)-'Допущения'!$D$43)-'Юнит MWS'!$D$16-$A19*'Юнит MWS'!$D$17</x:f>
        <x:v>131905.4</x:v>
      </x:c>
      <x:c r="D19" s="9" t="n">
        <x:f>(D$14+MAX(0,$A19-'Допущения'!$D$48)*'Допущения'!$D$49)*((1-'Допущения'!$D$65)/(1+'Допущения'!$D$10)-'Допущения'!$D$43)-'Юнит MWS'!$D$16-$A19*'Юнит MWS'!$D$17</x:f>
        <x:v>133345.4</x:v>
      </x:c>
      <x:c r="E19" s="9" t="n">
        <x:f>(E$14+MAX(0,$A19-'Допущения'!$D$48)*'Допущения'!$D$49)*((1-'Допущения'!$D$65)/(1+'Допущения'!$D$10)-'Допущения'!$D$43)-'Юнит MWS'!$D$16-$A19*'Юнит MWS'!$D$17</x:f>
        <x:v>135265.4</x:v>
      </x:c>
      <x:c r="F19" s="9" t="n">
        <x:f>(F$14+MAX(0,$A19-'Допущения'!$D$48)*'Допущения'!$D$49)*((1-'Допущения'!$D$65)/(1+'Допущения'!$D$10)-'Допущения'!$D$43)-'Юнит MWS'!$D$16-$A19*'Юнит MWS'!$D$17</x:f>
        <x:v>140065.4</x:v>
      </x:c>
    </x:row>
    <x:row r="20" ht="27" customHeight="1">
      <x:c r="A20" s="2"/>
      <x:c r="B20" s="2"/>
      <x:c r="C20" s="2"/>
      <x:c r="D20" s="2"/>
      <x:c r="E20" s="2"/>
      <x:c r="F20" s="2"/>
    </x:row>
    <x:row r="21" ht="27" customHeight="1">
      <x:c r="A21" s="2"/>
      <x:c r="B21" s="2"/>
      <x:c r="C21" s="2"/>
      <x:c r="D21" s="2"/>
      <x:c r="E21" s="2"/>
      <x:c r="F21" s="2"/>
    </x:row>
    <x:row r="22" ht="28" customHeight="1">
      <x:c r="A22" s="28" t="str">
        <x:v>Сколько активных аккаунтов нужно вернуть R&amp;D за H месяцев</x:v>
      </x:c>
      <x:c r="B22" s="28"/>
      <x:c r="C22" s="28"/>
      <x:c r="D22" s="28"/>
      <x:c r="E22" s="28"/>
      <x:c r="F22" s="28"/>
    </x:row>
    <x:row r="23" ht="27" customHeight="1">
      <x:c r="A23" s="2" t="str">
        <x:v>Opex / цена, ₽</x:v>
      </x:c>
      <x:c r="B23" s="32" t="n">
        <x:v>1490</x:v>
      </x:c>
      <x:c r="C23" s="32" t="n">
        <x:v>2990</x:v>
      </x:c>
      <x:c r="D23" s="32" t="n">
        <x:v>4990</x:v>
      </x:c>
      <x:c r="E23" s="2"/>
      <x:c r="F23" s="2"/>
    </x:row>
    <x:row r="24" ht="27" customHeight="1">
      <x:c r="A24" s="33" t="n">
        <x:v>20000</x:v>
      </x:c>
      <x:c r="B24" s="9" t="n">
        <x:f>IF(((B$23+MAX(0,'Юнит MWS'!$D$9-'Допущения'!$D$48)*'Допущения'!$D$49)*((1-'Допущения'!$D$65)/(1+'Допущения'!$D$10)-'Допущения'!$D$43)-'Юнит MWS'!$D$18-'Допущения'!$D$53*'Юнит MWS'!$D$27)&gt;0,ROUNDUP(($A24+'Допущения'!$D$55/'Допущения'!$D$13)/((B$23+MAX(0,'Юнит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71</x:v>
      </x:c>
      <x:c r="C24" s="9" t="n">
        <x:f>IF(((C$23+MAX(0,'Юнит MWS'!$D$9-'Допущения'!$D$48)*'Допущения'!$D$49)*((1-'Допущения'!$D$65)/(1+'Допущения'!$D$10)-'Допущения'!$D$43)-'Юнит MWS'!$D$18-'Допущения'!$D$53*'Юнит MWS'!$D$27)&gt;0,ROUNDUP(($A24+'Допущения'!$D$55/'Допущения'!$D$13)/((C$23+MAX(0,'Юнит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29</x:v>
      </x:c>
      <x:c r="D24" s="9" t="n">
        <x:f>IF(((D$23+MAX(0,'Юнит MWS'!$D$9-'Допущения'!$D$48)*'Допущения'!$D$49)*((1-'Допущения'!$D$65)/(1+'Допущения'!$D$10)-'Допущения'!$D$43)-'Юнит MWS'!$D$18-'Допущения'!$D$53*'Юнит MWS'!$D$27)&gt;0,ROUNDUP(($A24+'Допущения'!$D$55/'Допущения'!$D$13)/((D$23+MAX(0,'Юнит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17</x:v>
      </x:c>
      <x:c r="E24" s="2"/>
      <x:c r="F24" s="2"/>
    </x:row>
    <x:row r="25" ht="27" customHeight="1">
      <x:c r="A25" s="33" t="n">
        <x:v>40000</x:v>
      </x:c>
      <x:c r="B25" s="9" t="n">
        <x:f>IF(((B$23+MAX(0,'Юнит MWS'!$D$9-'Допущения'!$D$48)*'Допущения'!$D$49)*((1-'Допущения'!$D$65)/(1+'Допущения'!$D$10)-'Допущения'!$D$43)-'Юнит MWS'!$D$18-'Допущения'!$D$53*'Юнит MWS'!$D$27)&gt;0,ROUNDUP(($A25+'Допущения'!$D$55/'Допущения'!$D$13)/((B$23+MAX(0,'Юнит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91</x:v>
      </x:c>
      <x:c r="C25" s="9" t="n">
        <x:f>IF(((C$23+MAX(0,'Юнит MWS'!$D$9-'Допущения'!$D$48)*'Допущения'!$D$49)*((1-'Допущения'!$D$65)/(1+'Допущения'!$D$10)-'Допущения'!$D$43)-'Юнит MWS'!$D$18-'Допущения'!$D$53*'Юнит MWS'!$D$27)&gt;0,ROUNDUP(($A25+'Допущения'!$D$55/'Допущения'!$D$13)/((C$23+MAX(0,'Юнит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37</x:v>
      </x:c>
      <x:c r="D25" s="9" t="n">
        <x:f>IF(((D$23+MAX(0,'Юнит MWS'!$D$9-'Допущения'!$D$48)*'Допущения'!$D$49)*((1-'Допущения'!$D$65)/(1+'Допущения'!$D$10)-'Допущения'!$D$43)-'Юнит MWS'!$D$18-'Допущения'!$D$53*'Юнит MWS'!$D$27)&gt;0,ROUNDUP(($A25+'Допущения'!$D$55/'Допущения'!$D$13)/((D$23+MAX(0,'Юнит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21</x:v>
      </x:c>
      <x:c r="E25" s="2"/>
      <x:c r="F25" s="2"/>
    </x:row>
    <x:row r="26" ht="27" customHeight="1">
      <x:c r="A26" s="33" t="n">
        <x:v>80000</x:v>
      </x:c>
      <x:c r="B26" s="9" t="n">
        <x:f>IF(((B$23+MAX(0,'Юнит MWS'!$D$9-'Допущения'!$D$48)*'Допущения'!$D$49)*((1-'Допущения'!$D$65)/(1+'Допущения'!$D$10)-'Допущения'!$D$43)-'Юнит MWS'!$D$18-'Допущения'!$D$53*'Юнит MWS'!$D$27)&gt;0,ROUNDUP(($A26+'Допущения'!$D$55/'Допущения'!$D$13)/((B$23+MAX(0,'Юнит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131</x:v>
      </x:c>
      <x:c r="C26" s="9" t="n">
        <x:f>IF(((C$23+MAX(0,'Юнит MWS'!$D$9-'Допущения'!$D$48)*'Допущения'!$D$49)*((1-'Допущения'!$D$65)/(1+'Допущения'!$D$10)-'Допущения'!$D$43)-'Юнит MWS'!$D$18-'Допущения'!$D$53*'Юнит MWS'!$D$27)&gt;0,ROUNDUP(($A26+'Допущения'!$D$55/'Допущения'!$D$13)/((C$23+MAX(0,'Юнит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54</x:v>
      </x:c>
      <x:c r="D26" s="9" t="n">
        <x:f>IF(((D$23+MAX(0,'Юнит MWS'!$D$9-'Допущения'!$D$48)*'Допущения'!$D$49)*((1-'Допущения'!$D$65)/(1+'Допущения'!$D$10)-'Допущения'!$D$43)-'Юнит MWS'!$D$18-'Допущения'!$D$53*'Юнит MWS'!$D$27)&gt;0,ROUNDUP(($A26+'Допущения'!$D$55/'Допущения'!$D$13)/((D$23+MAX(0,'Юнит MWS'!$D$9-'Допущения'!$D$48)*'Допущения'!$D$49)*((1-'Допущения'!$D$65)/(1+'Допущения'!$D$10)-'Допущения'!$D$43)-'Юнит MWS'!$D$18-'Допущения'!$D$53*'Юнит MWS'!$D$27),0),"нет порога")</x:f>
        <x:v>30</x:v>
      </x:c>
      <x:c r="E26" s="2"/>
      <x:c r="F26" s="2"/>
    </x:row>
    <x:row r="27" ht="27" customHeight="1">
      <x:c r="A27" s="2"/>
      <x:c r="B27" s="2"/>
      <x:c r="C27" s="2"/>
      <x:c r="D27" s="2"/>
      <x:c r="E27" s="2"/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53" customHeight="1">
      <x:c r="A29" s="30" t="str">
        <x:v>Синие заголовки — отдельные тестовые точки чувствительности. Зелёный вклад не означает положительную прибыль бизнеса. При больших объёмах линейные затраты — упрощение: нужны замеры p95 нагрузки и поддержки.</x:v>
      </x:c>
      <x:c r="B29" s="30"/>
      <x:c r="C29" s="30"/>
      <x:c r="D29" s="30"/>
      <x:c r="E29" s="30"/>
      <x:c r="F29" s="30"/>
    </x:row>
    <x:row r="30" ht="27" customHeight="1">
      <x:c r="A30" s="2"/>
      <x:c r="B30" s="2"/>
      <x:c r="C30" s="2"/>
      <x:c r="D30" s="2"/>
      <x:c r="E30" s="2"/>
      <x:c r="F30" s="2"/>
    </x:row>
    <x:row r="31" ht="27" customHeight="1">
      <x:c r="A31" s="2"/>
      <x:c r="B31" s="2"/>
      <x:c r="C31" s="2"/>
      <x:c r="D31" s="2"/>
      <x:c r="E31" s="2"/>
      <x:c r="F31" s="2"/>
    </x:row>
  </x:sheetData>
  <x:mergeCells>
    <x:mergeCell ref="A1:F1"/>
    <x:mergeCell ref="A2:F2"/>
    <x:mergeCell ref="A4:F4"/>
    <x:mergeCell ref="A13:F13"/>
    <x:mergeCell ref="A22:F22"/>
    <x:mergeCell ref="A29:F29"/>
  </x:mergeCells>
  <x:conditionalFormatting sqref="B6:F10">
    <x:cfRule type="cellIs" dxfId="4" priority="1" operator="lessThan">
      <x:formula>0</x:formula>
    </x:cfRule>
    <x:cfRule type="cellIs" dxfId="5" priority="2" operator="greaterThanOrEqual">
      <x:formula>0</x:formula>
    </x:cfRule>
  </x:conditionalFormatting>
  <x:conditionalFormatting sqref="B15:F19">
    <x:cfRule type="cellIs" dxfId="6" priority="3" operator="lessThan">
      <x:formula>0</x:formula>
    </x:cfRule>
    <x:cfRule type="cellIs" dxfId="7" priority="4" operator="greaterThanOrEqual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5" hidden="0" customWidth="1"/>
    <x:col min="3" max="3" width="59" hidden="0" customWidth="1"/>
    <x:col min="4" max="4" width="64" hidden="0" customWidth="1"/>
    <x:col min="5" max="5" width="30" hidden="0" customWidth="1"/>
    <x:col min="6" max="6" width="57" hidden="0" customWidth="1"/>
  </x:cols>
  <x:sheetData>
    <x:row r="1" ht="44" customHeight="1">
      <x:c r="A1" s="4" t="str">
        <x:v>Источники и происхождение шаблона</x:v>
      </x:c>
      <x:c r="B1" s="4"/>
      <x:c r="C1" s="4"/>
      <x:c r="D1" s="4"/>
      <x:c r="E1" s="4"/>
    </x:row>
    <x:row r="2" ht="35" customHeight="1">
      <x:c r="A2" s="6" t="str">
        <x:v>Проверено 03.09.2026. Факты кейса и скрина отделены от рыночных примеров и наших гипотез.</x:v>
      </x:c>
      <x:c r="B2" s="6"/>
      <x:c r="C2" s="6"/>
      <x:c r="D2" s="6"/>
      <x:c r="E2" s="6"/>
    </x:row>
    <x:row r="3" ht="27" customHeight="1">
      <x:c r="A3" s="2"/>
      <x:c r="B3" s="2"/>
      <x:c r="C3" s="2"/>
      <x:c r="D3" s="2"/>
      <x:c r="E3" s="2"/>
    </x:row>
    <x:row r="4" ht="27" customHeight="1">
      <x:c r="A4" s="8" t="str">
        <x:v>ID</x:v>
      </x:c>
      <x:c r="B4" s="8" t="str">
        <x:v>Источник</x:v>
      </x:c>
      <x:c r="C4" s="8" t="str">
        <x:v>Что подтверждает</x:v>
      </x:c>
      <x:c r="D4" s="8" t="str">
        <x:v>URL / ссылка</x:v>
      </x:c>
      <x:c r="E4" s="8" t="str">
        <x:v>Дата и ограничения</x:v>
      </x:c>
    </x:row>
    <x:row r="5" ht="82" customHeight="1">
      <x:c r="A5" s="35" t="str">
        <x:v>S1</x:v>
      </x:c>
      <x:c r="B5" s="35" t="str">
        <x:v>Кейс организаторов</x:v>
      </x:c>
      <x:c r="C5" s="35" t="str">
        <x:v>200 заявок; 50 мин; 2 000 ₽/ч. Это модель кейса, не замер клиента.</x:v>
      </x:c>
      <x:c r="D5" s="35" t="str">
        <x:v>data/raw/case-brief.txt</x:v>
      </x:c>
      <x:c r="E5" s="35" t="str">
        <x:v>Локальный исходник; 2026-09-03</x:v>
      </x:c>
    </x:row>
    <x:row r="6" ht="82" customHeight="1">
      <x:c r="A6" s="35" t="str">
        <x:v>S2</x:v>
      </x:c>
      <x:c r="B6" s="35" t="str">
        <x:v>Скрин тарифа от пользователя</x:v>
      </x:c>
      <x:c r="C6" s="35" t="str">
        <x:v>23 040 ₽/год за 4 места. Freemium: 3 места. Налоговый состав неизвестен.</x:v>
      </x:c>
      <x:c r="D6" s="35" t="str">
        <x:v>Встроен ниже на этом листе</x:v>
      </x:c>
      <x:c r="E6" s="35" t="str">
        <x:v>Получен 2026-09-03; дата действия неизвестна</x:v>
      </x:c>
    </x:row>
    <x:row r="7" ht="82" customHeight="1">
      <x:c r="A7" s="35" t="str">
        <x:v>S3</x:v>
      </x:c>
      <x:c r="B7" s="35" t="str">
        <x:v>David Skok — SaaS Economics 101</x:v>
      </x:c>
      <x:c r="C7" s="35" t="str">
        <x:v>Открытый шаблон: ARPA, CAC, маржа, churn, окупаемость и накопленный вклад.</x:v>
      </x:c>
      <x:c r="D7" s="35" t="str">
        <x:v>https://docs.google.com/spreadsheets/d/15658UGZ66kHQtGzGua54OpXOuOOGCYuKeRoGlqVmUvY/edit</x:v>
      </x:c>
      <x:c r="E7" s="35" t="str">
        <x:v>Проверено 2026-09-03</x:v>
      </x:c>
    </x:row>
    <x:row r="8" ht="82" customHeight="1">
      <x:c r="A8" s="35" t="str">
        <x:v>S4</x:v>
      </x:c>
      <x:c r="B8" s="35" t="str">
        <x:v>David Skok — SaaS Metrics 2.0</x:v>
      </x:c>
      <x:c r="C8" s="35" t="str">
        <x:v>Методология: отдельно новая выручка, расширение и отток.</x:v>
      </x:c>
      <x:c r="D8" s="35" t="str">
        <x:v>https://www.forentrepreneurs.com/saas-metrics-2/</x:v>
      </x:c>
      <x:c r="E8" s="35" t="str">
        <x:v>Проверено 2026-09-03</x:v>
      </x:c>
    </x:row>
    <x:row r="9" ht="82" customHeight="1">
      <x:c r="A9" s="35" t="str">
        <x:v>S5</x:v>
      </x:c>
      <x:c r="B9" s="35" t="str">
        <x:v>Ben Murray — SaaS Financial Plan</x:v>
      </x:c>
      <x:c r="C9" s="35" t="str">
        <x:v>Альтернативный Excel-шаблон. Загрузка через email; форму не отправляли.</x:v>
      </x:c>
      <x:c r="D9" s="35" t="str">
        <x:v>https://www.thesaascfo.com/saas-financial-plan/</x:v>
      </x:c>
      <x:c r="E9" s="35" t="str">
        <x:v>Проверено 2026-09-03</x:v>
      </x:c>
    </x:row>
    <x:row r="10" ht="82" customHeight="1">
      <x:c r="A10" s="35" t="str">
        <x:v>S6</x:v>
      </x:c>
      <x:c r="B10" s="35" t="str">
        <x:v>Stripe — AI pricing framework</x:v>
      </x:c>
      <x:c r="C10" s="35" t="str">
        <x:v>Разделять единицу ценности, метрику тарификации и архитектуру пакетов.</x:v>
      </x:c>
      <x:c r="D10" s="35" t="str">
        <x:v>https://stripe.com/blog/a-framework-for-pricing-ai-products</x:v>
      </x:c>
      <x:c r="E10" s="35" t="str">
        <x:v>Проверено 2026-09-03</x:v>
      </x:c>
    </x:row>
    <x:row r="11" ht="82" customHeight="1">
      <x:c r="A11" s="35" t="str">
        <x:v>S7</x:v>
      </x:c>
      <x:c r="B11" s="35" t="str">
        <x:v>Stripe — AI pricing models</x:v>
      </x:c>
      <x:c r="C11" s="35" t="str">
        <x:v>Гибрид: подписка + объём; фиксированный чек требует контроля тяжёлых пользователей.</x:v>
      </x:c>
      <x:c r="D11" s="35" t="str">
        <x:v>https://stripe.com/en-ca/resources/more/ai-pricing-models</x:v>
      </x:c>
      <x:c r="E11" s="35" t="str">
        <x:v>Проверено 2026-09-03</x:v>
      </x:c>
    </x:row>
    <x:row r="12" ht="82" customHeight="1">
      <x:c r="A12" s="35" t="str">
        <x:v>S8</x:v>
      </x:c>
      <x:c r="B12" s="35" t="str">
        <x:v>Airtable — AI billing</x:v>
      </x:c>
      <x:c r="C12" s="35" t="str">
        <x:v>Общий пул кредитов; докупка: 10 000 кредитов за $20/мес или $200/год.</x:v>
      </x:c>
      <x:c r="D12" s="35" t="str">
        <x:v>https://support.airtable.com/articles/3378106230-airtable-ai-billing</x:v>
      </x:c>
      <x:c r="E12" s="35" t="str">
        <x:v>Проверено 2026-09-03</x:v>
      </x:c>
    </x:row>
    <x:row r="13" ht="82" customHeight="1">
      <x:c r="A13" s="35" t="str">
        <x:v>S9</x:v>
      </x:c>
      <x:c r="B13" s="35" t="str">
        <x:v>Asana — AI Studio</x:v>
      </x:c>
      <x:c r="C13" s="35" t="str">
        <x:v>Plus: $135/аккаунт/мес при годовой оплате; 100 тыс. кредитов/мес.</x:v>
      </x:c>
      <x:c r="D13" s="35" t="str">
        <x:v>https://asana.com/product/ai/ai-studio</x:v>
      </x:c>
      <x:c r="E13" s="35" t="str">
        <x:v>Проверено 2026-09-03</x:v>
      </x:c>
    </x:row>
    <x:row r="14" ht="82" customHeight="1">
      <x:c r="A14" s="35" t="str">
        <x:v>H</x:v>
      </x:c>
      <x:c r="B14" s="35" t="str">
        <x:v>Рабочие допущения команды</x:v>
      </x:c>
      <x:c r="C14" s="35" t="str">
        <x:v>Все цены фичи, затраты, продажи, отток, доли и эффективность — иллюстрации.</x:v>
      </x:c>
      <x:c r="D14" s="35" t="str">
        <x:v>Внутренние данные MWS отсутствуют — ответ пользователя 2026-09-03</x:v>
      </x:c>
      <x:c r="E14" s="35" t="str">
        <x:v>Не являются исследованием спроса или прогнозом</x:v>
      </x:c>
    </x:row>
    <x:row r="15" ht="27" customHeight="1">
      <x:c r="A15" s="2"/>
      <x:c r="B15" s="2"/>
      <x:c r="C15" s="2"/>
      <x:c r="D15" s="2"/>
      <x:c r="E15" s="2"/>
    </x:row>
    <x:row r="16" ht="46" customHeight="1">
      <x:c r="A16" s="30" t="str">
        <x:v>Выбран открытый SaaS Economics 101 как методический каркас. Эта книга построена заново под фичу MWS; это НЕ загруженный или дословно скопированный файл автора. Все примеры цен MWS-модуля — гипотезы.</x:v>
      </x:c>
      <x:c r="B16" s="30"/>
      <x:c r="C16" s="30"/>
      <x:c r="D16" s="30"/>
      <x:c r="E16" s="30"/>
    </x:row>
    <x:row r="17" ht="27" customHeight="1">
      <x:c r="A17" s="2"/>
      <x:c r="B17" s="2"/>
      <x:c r="C17" s="2"/>
      <x:c r="D17" s="2"/>
      <x:c r="E17" s="2"/>
    </x:row>
    <x:row r="18" ht="46" customHeight="1">
      <x:c r="A18" s="30" t="str">
        <x:v>Не перенесены valuation, терминальная стоимость, общий P&amp;L компании и полноценный CAC MWS: для отдельной фичи без внутренних данных это создало бы ложную точность. Кредиты разных продуктов несопоставимы с заявками.</x:v>
      </x:c>
      <x:c r="B18" s="30"/>
      <x:c r="C18" s="30"/>
      <x:c r="D18" s="30"/>
      <x:c r="E18" s="30"/>
    </x:row>
    <x:row r="19" ht="27" customHeight="1">
      <x:c r="A19" s="2"/>
      <x:c r="B19" s="2"/>
      <x:c r="C19" s="2"/>
      <x:c r="D19" s="2"/>
      <x:c r="E19" s="2"/>
    </x:row>
    <x:row r="20" ht="27" customHeight="1">
      <x:c r="A20" s="2"/>
      <x:c r="B20" s="2"/>
      <x:c r="C20" s="2"/>
      <x:c r="D20" s="2"/>
      <x:c r="E20" s="2"/>
    </x:row>
    <x:row r="21" ht="27" customHeight="1">
      <x:c r="A21" s="2"/>
      <x:c r="B21" s="2"/>
      <x:c r="C21" s="2"/>
      <x:c r="D21" s="2"/>
      <x:c r="E21" s="2"/>
    </x:row>
    <x:row r="22" ht="27" customHeight="1">
      <x:c r="A22" s="2"/>
      <x:c r="B22" s="2"/>
      <x:c r="C22" s="2"/>
      <x:c r="D22" s="2"/>
      <x:c r="E22" s="2"/>
    </x:row>
    <x:row r="23" ht="27" customHeight="1">
      <x:c r="A23" s="2"/>
      <x:c r="B23" s="2"/>
      <x:c r="C23" s="2"/>
      <x:c r="D23" s="2"/>
      <x:c r="E23" s="2"/>
    </x:row>
    <x:row r="24" ht="27" customHeight="1">
      <x:c r="A24" s="2"/>
      <x:c r="B24" s="2"/>
      <x:c r="C24" s="2"/>
      <x:c r="D24" s="2"/>
      <x:c r="E24" s="2"/>
    </x:row>
    <x:row r="25" ht="27" customHeight="1">
      <x:c r="A25" s="2"/>
      <x:c r="B25" s="2"/>
      <x:c r="C25" s="2"/>
      <x:c r="D25" s="2"/>
      <x:c r="E25" s="2"/>
    </x:row>
    <x:row r="26" ht="27" customHeight="1">
      <x:c r="A26" s="2"/>
      <x:c r="B26" s="2"/>
      <x:c r="C26" s="2"/>
      <x:c r="D26" s="2"/>
      <x:c r="E26" s="2"/>
    </x:row>
    <x:row r="27" ht="27" customHeight="1">
      <x:c r="A27" s="2"/>
      <x:c r="B27" s="2"/>
      <x:c r="C27" s="2"/>
      <x:c r="D27" s="2"/>
      <x:c r="E27" s="2"/>
    </x:row>
    <x:row r="28" ht="27" customHeight="1">
      <x:c r="A28" s="2"/>
      <x:c r="B28" s="2"/>
      <x:c r="C28" s="2"/>
      <x:c r="D28" s="2"/>
      <x:c r="E28" s="2"/>
    </x:row>
    <x:row r="29" ht="27" customHeight="1">
      <x:c r="A29" s="2"/>
      <x:c r="B29" s="2"/>
      <x:c r="C29" s="2"/>
      <x:c r="D29" s="2"/>
      <x:c r="E29" s="2"/>
    </x:row>
    <x:row r="30" ht="27" customHeight="1">
      <x:c r="A30" s="2"/>
      <x:c r="B30" s="2"/>
      <x:c r="C30" s="2"/>
      <x:c r="D30" s="2"/>
      <x:c r="E30" s="2"/>
    </x:row>
    <x:row r="31" ht="27" customHeight="1">
      <x:c r="A31" s="2"/>
      <x:c r="B31" s="2"/>
      <x:c r="C31" s="2"/>
      <x:c r="D31" s="2"/>
      <x:c r="E31" s="2"/>
    </x:row>
    <x:row r="32" ht="27" customHeight="1">
      <x:c r="A32" s="2"/>
      <x:c r="B32" s="2"/>
      <x:c r="C32" s="2"/>
      <x:c r="D32" s="2"/>
      <x:c r="E32" s="2"/>
    </x:row>
    <x:row r="33" ht="27" customHeight="1">
      <x:c r="A33" s="2"/>
      <x:c r="B33" s="2"/>
      <x:c r="C33" s="2"/>
      <x:c r="D33" s="2"/>
      <x:c r="E33" s="2"/>
    </x:row>
    <x:row r="34" ht="27" customHeight="1">
      <x:c r="A34" s="2"/>
      <x:c r="B34" s="2"/>
      <x:c r="C34" s="2"/>
      <x:c r="D34" s="2"/>
      <x:c r="E34" s="2"/>
    </x:row>
  </x:sheetData>
  <x:mergeCells>
    <x:mergeCell ref="A1:E1"/>
    <x:mergeCell ref="A2:E2"/>
    <x:mergeCell ref="A16:E16"/>
    <x:mergeCell ref="A18:E18"/>
  </x:mergeCells>
  <x:pageMargins left="0.7" right="0.7" top="0.75" bottom="0.75" header="0.3" footer="0.3"/>
  <x:drawing xmlns:r="http://schemas.openxmlformats.org/officeDocument/2006/relationships" r:id="R4467c30b65e74fc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57" hidden="0" customWidth="1"/>
  </x:cols>
  <x:sheetData>
    <x:row r="1" ht="44" customHeight="1">
      <x:c r="A1" s="4" t="str">
        <x:v>Контроль расчётов</x:v>
      </x:c>
      <x:c r="B1" s="4"/>
      <x:c r="C1" s="4"/>
      <x:c r="D1" s="4"/>
      <x:c r="E1" s="4"/>
      <x:c r="F1" s="4"/>
    </x:row>
    <x:row r="2" ht="35" customHeight="1">
      <x:c r="A2" s="6" t="str">
        <x:v>PASS означает согласованность формул и границ, но не подтверждает предположения рынком.</x:v>
      </x:c>
      <x:c r="B2" s="6"/>
      <x:c r="C2" s="6"/>
      <x:c r="D2" s="6"/>
      <x:c r="E2" s="6"/>
      <x:c r="F2" s="6"/>
    </x:row>
    <x:row r="3" ht="27" customHeight="1">
      <x:c r="A3" s="2"/>
      <x:c r="B3" s="2"/>
      <x:c r="C3" s="2"/>
      <x:c r="D3" s="2"/>
      <x:c r="E3" s="2"/>
      <x:c r="F3" s="2"/>
    </x:row>
    <x:row r="4" ht="30" customHeight="1">
      <x:c r="A4" s="8" t="str">
        <x:v>Показатель</x:v>
      </x:c>
      <x:c r="B4" s="8" t="str">
        <x:v>Единица</x:v>
      </x:c>
      <x:c r="C4" s="8" t="str">
        <x:v>Стресс</x:v>
      </x:c>
      <x:c r="D4" s="8" t="str">
        <x:v>Базовый</x:v>
      </x:c>
      <x:c r="E4" s="8" t="str">
        <x:v>Эффективный</x:v>
      </x:c>
      <x:c r="F4" s="8" t="str">
        <x:v>Пояснение</x:v>
      </x:c>
    </x:row>
    <x:row r="5" ht="38" customHeight="1">
      <x:c r="A5" s="12" t="str">
        <x:v>Все входные величины неотрицательны</x:v>
      </x:c>
      <x:c r="B5" s="2" t="str"/>
      <x:c r="C5" s="36" t="str">
        <x:f>IF(MIN('Допущения'!C5:C65)&gt;=0,"PASS","FAIL")</x:f>
        <x:v>PASS</x:v>
      </x:c>
      <x:c r="D5" s="36" t="str">
        <x:f>IF(MIN('Допущения'!D5:D65)&gt;=0,"PASS","FAIL")</x:f>
        <x:v>PASS</x:v>
      </x:c>
      <x:c r="E5" s="36" t="str">
        <x:f>IF(MIN('Допущения'!E5:E65)&gt;=0,"PASS","FAIL")</x:f>
        <x:v>PASS</x:v>
      </x:c>
      <x:c r="F5" s="6" t="str">
        <x:v>Допущения: все числовые ячейки</x:v>
      </x:c>
    </x:row>
    <x:row r="6" ht="38" customHeight="1">
      <x:c r="A6" s="12" t="str">
        <x:v>Доли находятся в диапазоне 0–1</x:v>
      </x:c>
      <x:c r="B6" s="2" t="str"/>
      <x:c r="C6" s="36" t="str">
        <x:f>IF(AND('Допущения'!C10&lt;=1,'Допущения'!C11&lt;=1,'Допущения'!C12&lt;=1,'Допущения'!C19&lt;=1,'Допущения'!C20&lt;=1,'Допущения'!C23&lt;=1,'Допущения'!C30&lt;=1,'Допущения'!C43&lt;=1,'Допущения'!C53&lt;=1,'Допущения'!C59&lt;=1,'Допущения'!C64&lt;=1,'Допущения'!C65&lt;=1),"PASS","FAIL")</x:f>
        <x:v>PASS</x:v>
      </x:c>
      <x:c r="D6" s="36" t="str">
        <x:f>IF(AND('Допущения'!D10&lt;=1,'Допущения'!D11&lt;=1,'Допущения'!D12&lt;=1,'Допущения'!D19&lt;=1,'Допущения'!D20&lt;=1,'Допущения'!D23&lt;=1,'Допущения'!D30&lt;=1,'Допущения'!D43&lt;=1,'Допущения'!D53&lt;=1,'Допущения'!D59&lt;=1,'Допущения'!D64&lt;=1,'Допущения'!D65&lt;=1),"PASS","FAIL")</x:f>
        <x:v>PASS</x:v>
      </x:c>
      <x:c r="E6" s="36" t="str">
        <x:f>IF(AND('Допущения'!E10&lt;=1,'Допущения'!E11&lt;=1,'Допущения'!E12&lt;=1,'Допущения'!E19&lt;=1,'Допущения'!E20&lt;=1,'Допущения'!E23&lt;=1,'Допущения'!E30&lt;=1,'Допущения'!E43&lt;=1,'Допущения'!E53&lt;=1,'Допущения'!E59&lt;=1,'Допущения'!E64&lt;=1,'Допущения'!E65&lt;=1),"PASS","FAIL")</x:f>
        <x:v>PASS</x:v>
      </x:c>
      <x:c r="F6" s="6" t="str">
        <x:v>Неотрицательность проверяется отдельно</x:v>
      </x:c>
    </x:row>
    <x:row r="7" ht="38" customHeight="1">
      <x:c r="A7" s="12" t="str">
        <x:v>Положительные делители и горизонт</x:v>
      </x:c>
      <x:c r="B7" s="2" t="str"/>
      <x:c r="C7" s="36" t="str">
        <x:f>IF(AND('Допущения'!C5&gt;0,'Допущения'!C6&gt;0,'Допущения'!C7&gt;0,'Допущения'!C9&gt;0,'Допущения'!C13&gt;0),"PASS","FAIL")</x:f>
        <x:v>PASS</x:v>
      </x:c>
      <x:c r="D7" s="36" t="str">
        <x:f>IF(AND('Допущения'!D5&gt;0,'Допущения'!D6&gt;0,'Допущения'!D7&gt;0,'Допущения'!D9&gt;0,'Допущения'!D13&gt;0),"PASS","FAIL")</x:f>
        <x:v>PASS</x:v>
      </x:c>
      <x:c r="E7" s="36" t="str">
        <x:f>IF(AND('Допущения'!E5&gt;0,'Допущения'!E6&gt;0,'Допущения'!E7&gt;0,'Допущения'!E9&gt;0,'Допущения'!E13&gt;0),"PASS","FAIL")</x:f>
        <x:v>PASS</x:v>
      </x:c>
      <x:c r="F7" s="6" t="str">
        <x:v>Месяцы, минуты, токены, места, горизонт</x:v>
      </x:c>
    </x:row>
    <x:row r="8" ht="38" customHeight="1">
      <x:c r="A8" s="12" t="str">
        <x:v>Двоичные переключатели 0 / 1</x:v>
      </x:c>
      <x:c r="B8" s="2" t="str"/>
      <x:c r="C8" s="36" t="str">
        <x:f>IF(AND(OR('Допущения'!C24=0,'Допущения'!C24=1),OR('Допущения'!C29=0,'Допущения'!C29=1)),"PASS","FAIL")</x:f>
        <x:v>PASS</x:v>
      </x:c>
      <x:c r="D8" s="36" t="str">
        <x:f>IF(AND(OR('Допущения'!D24=0,'Допущения'!D24=1),OR('Допущения'!D29=0,'Допущения'!D29=1)),"PASS","FAIL")</x:f>
        <x:v>PASS</x:v>
      </x:c>
      <x:c r="E8" s="36" t="str">
        <x:f>IF(AND(OR('Допущения'!E24=0,'Допущения'!E24=1),OR('Допущения'!E29=0,'Допущения'!E29=1)),"PASS","FAIL")</x:f>
        <x:v>PASS</x:v>
      </x:c>
      <x:c r="F8" s="6" t="str">
        <x:v>Новый Unlimit и LLM</x:v>
      </x:c>
    </x:row>
    <x:row r="9" ht="38" customHeight="1">
      <x:c r="A9" s="12" t="str">
        <x:v>Охват не больше полного потока</x:v>
      </x:c>
      <x:c r="B9" s="2" t="str"/>
      <x:c r="C9" s="36" t="str">
        <x:f>IF('Юнит MWS'!C9&lt;='Допущения'!C16,"PASS","FAIL")</x:f>
        <x:v>PASS</x:v>
      </x:c>
      <x:c r="D9" s="36" t="str">
        <x:f>IF('Юнит MWS'!D9&lt;='Допущения'!D16,"PASS","FAIL")</x:f>
        <x:v>PASS</x:v>
      </x:c>
      <x:c r="E9" s="36" t="str">
        <x:f>IF('Юнит MWS'!E9&lt;='Допущения'!E16,"PASS","FAIL")</x:f>
        <x:v>PASS</x:v>
      </x:c>
      <x:c r="F9" s="6" t="str">
        <x:v>Обрабатываемая доля потока</x:v>
      </x:c>
    </x:row>
    <x:row r="10" ht="38" customHeight="1">
      <x:c r="A10" s="12" t="str">
        <x:v>LLM затраты разделены без потерь</x:v>
      </x:c>
      <x:c r="B10" s="2" t="str"/>
      <x:c r="C10" s="36" t="str">
        <x:f>IF(ABS('Юнит MWS'!C9*('Юнит MWS'!C13-'Юнит MWS'!C12)+'Юнит MWS'!C19-'Юнит MWS'!C9*'Юнит MWS'!C11)&lt;0.000001,"PASS","FAIL")</x:f>
        <x:v>PASS</x:v>
      </x:c>
      <x:c r="D10" s="36" t="str">
        <x:f>IF(ABS('Юнит MWS'!D9*('Юнит MWS'!D13-'Юнит MWS'!D12)+'Юнит MWS'!D19-'Юнит MWS'!D9*'Юнит MWS'!D11)&lt;0.000001,"PASS","FAIL")</x:f>
        <x:v>PASS</x:v>
      </x:c>
      <x:c r="E10" s="36" t="str">
        <x:f>IF(ABS('Юнит MWS'!E9*('Юнит MWS'!E13-'Юнит MWS'!E12)+'Юнит MWS'!E19-'Юнит MWS'!E9*'Юнит MWS'!E11)&lt;0.000001,"PASS","FAIL")</x:f>
        <x:v>PASS</x:v>
      </x:c>
      <x:c r="F10" s="6" t="str">
        <x:v>MWS + BYOK = весь LLM</x:v>
      </x:c>
    </x:row>
    <x:row r="11" ht="38" customHeight="1">
      <x:c r="A11" s="12" t="str">
        <x:v>Вклад модуля согласован с затратами</x:v>
      </x:c>
      <x:c r="B11" s="2" t="str"/>
      <x:c r="C11" s="36" t="str">
        <x:f>IF(ABS('Юнит MWS'!C25+'Юнит MWS'!C18+'Юнит MWS'!C24-'Юнит MWS'!C23)&lt;0.000001,"PASS","FAIL")</x:f>
        <x:v>PASS</x:v>
      </x:c>
      <x:c r="D11" s="36" t="str">
        <x:f>IF(ABS('Юнит MWS'!D25+'Юнит MWS'!D18+'Юнит MWS'!D24-'Юнит MWS'!D23)&lt;0.000001,"PASS","FAIL")</x:f>
        <x:v>PASS</x:v>
      </x:c>
      <x:c r="E11" s="36" t="str">
        <x:f>IF(ABS('Юнит MWS'!E25+'Юнит MWS'!E18+'Юнит MWS'!E24-'Юнит MWS'!E23)&lt;0.000001,"PASS","FAIL")</x:f>
        <x:v>PASS</x:v>
      </x:c>
      <x:c r="F11" s="6" t="str">
        <x:v>Выручка = COGS + комиссия + вклад</x:v>
      </x:c>
    </x:row>
    <x:row r="12" ht="38" customHeight="1">
      <x:c r="A12" s="12" t="str">
        <x:v>Труд до = труд после + высвобождение</x:v>
      </x:c>
      <x:c r="B12" s="2" t="str"/>
      <x:c r="C12" s="36" t="str">
        <x:f>IF(ABS('Клиент'!C6-'Клиент'!C11/'Допущения'!C6-'Клиент'!C12)&lt;0.000001,"PASS","FAIL")</x:f>
        <x:v>PASS</x:v>
      </x:c>
      <x:c r="D12" s="36" t="str">
        <x:f>IF(ABS('Клиент'!D6-'Клиент'!D11/'Допущения'!D6-'Клиент'!D12)&lt;0.000001,"PASS","FAIL")</x:f>
        <x:v>PASS</x:v>
      </x:c>
      <x:c r="E12" s="36" t="str">
        <x:f>IF(ABS('Клиент'!E6-'Клиент'!E11/'Допущения'!E6-'Клиент'!E12)&lt;0.000001,"PASS","FAIL")</x:f>
        <x:v>PASS</x:v>
      </x:c>
      <x:c r="F12" s="6" t="str">
        <x:v>Часы; весь клиентский поток</x:v>
      </x:c>
    </x:row>
    <x:row r="13" ht="38" customHeight="1">
      <x:c r="A13" s="12" t="str">
        <x:v>Повторные попытки не меньше одной</x:v>
      </x:c>
      <x:c r="B13" s="2" t="str"/>
      <x:c r="C13" s="36" t="str">
        <x:f>IF('Допущения'!C35&gt;=1,"PASS","FAIL")</x:f>
        <x:v>PASS</x:v>
      </x:c>
      <x:c r="D13" s="36" t="str">
        <x:f>IF('Допущения'!D35&gt;=1,"PASS","FAIL")</x:f>
        <x:v>PASS</x:v>
      </x:c>
      <x:c r="E13" s="36" t="str">
        <x:f>IF('Допущения'!E35&gt;=1,"PASS","FAIL")</x:f>
        <x:v>PASS</x:v>
      </x:c>
      <x:c r="F13" s="6" t="str">
        <x:v>Стоимость попытки</x:v>
      </x:c>
    </x:row>
    <x:row r="14" ht="27" customHeight="1">
      <x:c r="A14" s="2"/>
      <x:c r="B14" s="2"/>
      <x:c r="C14" s="2"/>
      <x:c r="D14" s="2"/>
      <x:c r="E14" s="2"/>
      <x:c r="F14" s="2"/>
    </x:row>
    <x:row r="15" ht="38" customHeight="1">
      <x:c r="A15" s="12" t="str">
        <x:v>Итог для сценария</x:v>
      </x:c>
      <x:c r="B15" s="2" t="str"/>
      <x:c r="C15" s="36" t="str">
        <x:f>IF(COUNTIF(C5:C13,"FAIL")+COUNTIF(C17:C18,"FAIL")=0,"PASS","FAIL")</x:f>
        <x:v>PASS</x:v>
      </x:c>
      <x:c r="D15" s="36" t="str">
        <x:f>IF(COUNTIF(D5:D13,"FAIL")+COUNTIF(D17:D18,"FAIL")=0,"PASS","FAIL")</x:f>
        <x:v>PASS</x:v>
      </x:c>
      <x:c r="E15" s="36" t="str">
        <x:f>IF(COUNTIF(E5:E13,"FAIL")+COUNTIF(E17:E18,"FAIL")=0,"PASS","FAIL")</x:f>
        <x:v>PASS</x:v>
      </x:c>
      <x:c r="F15" s="6" t="str">
        <x:v>Контроль структуры, НЕ инвестиционная рекомендация.</x:v>
      </x:c>
    </x:row>
    <x:row r="16" ht="27" customHeight="1">
      <x:c r="A16" s="2"/>
      <x:c r="B16" s="2"/>
      <x:c r="C16" s="2"/>
      <x:c r="D16" s="2"/>
      <x:c r="E16" s="2"/>
      <x:c r="F16" s="2"/>
    </x:row>
    <x:row r="17" ht="38" customHeight="1">
      <x:c r="A17" s="12" t="str">
        <x:v>Сверка накопленного результата</x:v>
      </x:c>
      <x:c r="B17" s="2" t="str"/>
      <x:c r="C17" s="36" t="str">
        <x:f>IF(ABS('Рост'!K28-SUM('Рост'!J5:J28)+'Допущения'!D55)&lt;0.000001,"PASS","FAIL")</x:f>
        <x:v>PASS</x:v>
      </x:c>
      <x:c r="D17" s="36" t="str">
        <x:f>IF(ABS('Рост'!K28-SUM('Рост'!J5:J28)+'Допущения'!D55)&lt;0.000001,"PASS","FAIL")</x:f>
        <x:v>PASS</x:v>
      </x:c>
      <x:c r="E17" s="36" t="str">
        <x:f>IF(ABS('Рост'!K28-SUM('Рост'!J5:J28)+'Допущения'!D55)&lt;0.000001,"PASS","FAIL")</x:f>
        <x:v>PASS</x:v>
      </x:c>
      <x:c r="F17" s="6" t="str">
        <x:v>Общая проверка базового сценария.</x:v>
      </x:c>
    </x:row>
    <x:row r="18" ht="38" customHeight="1">
      <x:c r="A18" s="12" t="str">
        <x:v>Сверка аккаунтов за 24 месяца</x:v>
      </x:c>
      <x:c r="B18" s="2" t="str"/>
      <x:c r="C18" s="36" t="str">
        <x:f>IF(ABS('Рост'!E28-'Допущения'!D57-SUM('Рост'!C5:C28)+SUM('Рост'!D5:D28))&lt;0.000001,"PASS","FAIL")</x:f>
        <x:v>PASS</x:v>
      </x:c>
      <x:c r="D18" s="36" t="str">
        <x:f>IF(ABS('Рост'!E28-'Допущения'!D57-SUM('Рост'!C5:C28)+SUM('Рост'!D5:D28))&lt;0.000001,"PASS","FAIL")</x:f>
        <x:v>PASS</x:v>
      </x:c>
      <x:c r="E18" s="36" t="str">
        <x:f>IF(ABS('Рост'!E28-'Допущения'!D57-SUM('Рост'!C5:C28)+SUM('Рост'!D5:D28))&lt;0.000001,"PASS","FAIL")</x:f>
        <x:v>PASS</x:v>
      </x:c>
      <x:c r="F18" s="6" t="str">
        <x:v>На старт + новые − ушедшие = на конец.</x:v>
      </x:c>
    </x:row>
    <x:row r="19" ht="27" customHeight="1">
      <x:c r="A19" s="2"/>
      <x:c r="B19" s="2"/>
      <x:c r="C19" s="2"/>
      <x:c r="D19" s="2"/>
      <x:c r="E19" s="2"/>
      <x:c r="F19" s="2"/>
    </x:row>
    <x:row r="20" ht="27" customHeight="1">
      <x:c r="A20" s="2"/>
      <x:c r="B20" s="2"/>
      <x:c r="C20" s="2"/>
      <x:c r="D20" s="2"/>
      <x:c r="E20" s="2"/>
      <x:c r="F20" s="2"/>
    </x:row>
    <x:row r="21" ht="55" customHeight="1">
      <x:c r="A21" s="30" t="str">
        <x:v>Отдельно вручную проверяются: налоговый состав тарифа; право на оплату/обработку; реальные тарифы LLM; среднее время по замерам; нагрузка; причинный эффект конверсии; CAC и поддержка. Сейчас этих фактов нет.</x:v>
      </x:c>
      <x:c r="B21" s="30"/>
      <x:c r="C21" s="30"/>
      <x:c r="D21" s="30"/>
      <x:c r="E21" s="30"/>
      <x:c r="F21" s="30"/>
    </x:row>
    <x:row r="22" ht="27" customHeight="1">
      <x:c r="A22" s="2"/>
      <x:c r="B22" s="2"/>
      <x:c r="C22" s="2"/>
      <x:c r="D22" s="2"/>
      <x:c r="E22" s="2"/>
      <x:c r="F22" s="2"/>
    </x:row>
    <x:row r="23" ht="27" customHeight="1">
      <x:c r="A23" s="2"/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/>
      <x:c r="B25" s="2"/>
      <x:c r="C25" s="2"/>
      <x:c r="D25" s="2"/>
      <x:c r="E25" s="2"/>
      <x:c r="F25" s="2"/>
    </x:row>
    <x:row r="26" ht="27" customHeight="1">
      <x:c r="A26" s="2"/>
      <x:c r="B26" s="2"/>
      <x:c r="C26" s="2"/>
      <x:c r="D26" s="2"/>
      <x:c r="E26" s="2"/>
      <x:c r="F26" s="2"/>
    </x:row>
  </x:sheetData>
  <x:mergeCells>
    <x:mergeCell ref="A1:F1"/>
    <x:mergeCell ref="A2:F2"/>
    <x:mergeCell ref="A21:F21"/>
  </x:mergeCells>
  <x:conditionalFormatting sqref="C5:E18">
    <x:cfRule type="containsText" dxfId="8" priority="1" operator="containsText" text="FAIL"/>
  </x:conditionalFormatting>
  <x:pageMargins left="0.7" right="0.7" top="0.75" bottom="0.75" header="0.3" footer="0.3"/>
</x:worksheet>
</file>